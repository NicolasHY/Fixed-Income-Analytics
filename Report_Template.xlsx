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1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erformance_Report" sheetId="2" state="visible" r:id="rId2"/>
    <sheet xmlns:r="http://schemas.openxmlformats.org/officeDocument/2006/relationships" name="Alerts_Review" sheetId="3" state="visible" r:id="rId3"/>
    <sheet xmlns:r="http://schemas.openxmlformats.org/officeDocument/2006/relationships" name="Risk_Summary" sheetId="4" state="visible" r:id="rId4"/>
    <sheet xmlns:r="http://schemas.openxmlformats.org/officeDocument/2006/relationships" name="VaR_Analysis" sheetId="5" state="visible" r:id="rId5"/>
    <sheet xmlns:r="http://schemas.openxmlformats.org/officeDocument/2006/relationships" name="KRD" sheetId="6" state="visible" r:id="rId6"/>
  </sheets>
  <definedNames>
    <definedName name="Report_End_Date">Performance_Report!$D$6</definedName>
    <definedName name="Report_Start_Date">Performance_Report!$D$5</definedName>
    <definedName name="Rf_Rate">Performance_Report!$D$8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000%"/>
    <numFmt numFmtId="166" formatCode="#,##0;\(#,##0\);\-"/>
    <numFmt numFmtId="167" formatCode="0.00\x"/>
    <numFmt numFmtId="168" formatCode="0.0%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FFFFFF"/>
      <sz val="10"/>
      <scheme val="minor"/>
    </font>
    <font>
      <name val="Calibri"/>
      <family val="2"/>
      <b val="1"/>
      <color rgb="FF2F5496"/>
      <sz val="11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color rgb="FF1F3864"/>
      <sz val="11"/>
      <scheme val="minor"/>
    </font>
    <font>
      <name val="Calibri"/>
      <family val="2"/>
      <b val="1"/>
      <color rgb="FFFFFFFF"/>
      <sz val="15"/>
      <scheme val="minor"/>
    </font>
    <font>
      <name val="Calibri"/>
      <family val="2"/>
      <b val="1"/>
      <color rgb="FF7B0000"/>
      <sz val="11"/>
      <scheme val="minor"/>
    </font>
    <font>
      <name val="Calibri"/>
      <family val="2"/>
      <b val="1"/>
      <color rgb="FF7B3F00"/>
      <sz val="11"/>
      <scheme val="minor"/>
    </font>
    <font>
      <name val="Calibri"/>
      <family val="2"/>
      <b val="1"/>
      <color rgb="FF1F3864"/>
      <sz val="9"/>
      <scheme val="minor"/>
    </font>
    <font>
      <name val="Calibri"/>
      <family val="2"/>
      <color theme="1"/>
      <sz val="9"/>
      <scheme val="minor"/>
    </font>
    <font>
      <name val="Calibri"/>
      <b val="1"/>
      <color rgb="00FFFFFF"/>
      <sz val="13"/>
    </font>
    <font>
      <name val="Calibri"/>
      <b val="1"/>
      <color rgb="000F172A"/>
      <sz val="9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color rgb="0094A3B8"/>
      <sz val="9"/>
    </font>
  </fonts>
  <fills count="2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4D8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A0202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EF0F0"/>
        <bgColor indexed="64"/>
      </patternFill>
    </fill>
    <fill>
      <patternFill patternType="solid">
        <fgColor rgb="FF7B3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000D1B2A"/>
      </patternFill>
    </fill>
    <fill>
      <patternFill patternType="solid">
        <fgColor rgb="00E2E8F0"/>
      </patternFill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F6F8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/>
      <right/>
      <top/>
      <bottom style="dashed">
        <color rgb="FF2F5496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3" fontId="0" fillId="0" borderId="0" pivotButton="0" quotePrefix="0" xfId="0"/>
    <xf numFmtId="166" fontId="0" fillId="3" borderId="0" pivotButton="0" quotePrefix="0" xfId="0"/>
    <xf numFmtId="166" fontId="0" fillId="4" borderId="0" pivotButton="0" quotePrefix="0" xfId="0"/>
    <xf numFmtId="166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2" fillId="6" borderId="0" pivotButton="0" quotePrefix="0" xfId="0"/>
    <xf numFmtId="10" fontId="0" fillId="0" borderId="0" pivotButton="0" quotePrefix="0" xfId="0"/>
    <xf numFmtId="0" fontId="5" fillId="0" borderId="0" pivotButton="0" quotePrefix="0" xfId="0"/>
    <xf numFmtId="164" fontId="6" fillId="7" borderId="0" pivotButton="0" quotePrefix="0" xfId="0"/>
    <xf numFmtId="0" fontId="6" fillId="7" borderId="0" pivotButton="0" quotePrefix="0" xfId="0"/>
    <xf numFmtId="10" fontId="6" fillId="7" borderId="2" pivotButton="0" quotePrefix="0" xfId="0"/>
    <xf numFmtId="0" fontId="6" fillId="8" borderId="0" pivotButton="0" quotePrefix="0" xfId="0"/>
    <xf numFmtId="0" fontId="7" fillId="8" borderId="0" pivotButton="0" quotePrefix="0" xfId="0"/>
    <xf numFmtId="0" fontId="7" fillId="3" borderId="0" pivotButton="0" quotePrefix="0" xfId="0"/>
    <xf numFmtId="0" fontId="7" fillId="4" borderId="0" pivotButton="0" quotePrefix="0" xfId="0"/>
    <xf numFmtId="10" fontId="6" fillId="3" borderId="0" pivotButton="0" quotePrefix="0" xfId="0"/>
    <xf numFmtId="10" fontId="6" fillId="4" borderId="0" pivotButton="0" quotePrefix="0" xfId="0"/>
    <xf numFmtId="167" fontId="6" fillId="3" borderId="0" pivotButton="0" quotePrefix="0" xfId="0"/>
    <xf numFmtId="1" fontId="6" fillId="3" borderId="0" pivotButton="0" quotePrefix="0" xfId="0"/>
    <xf numFmtId="165" fontId="6" fillId="4" borderId="0" pivotButton="0" quotePrefix="0" xfId="0"/>
    <xf numFmtId="0" fontId="8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2" fillId="11" borderId="0" pivotButton="0" quotePrefix="0" xfId="0"/>
    <xf numFmtId="0" fontId="9" fillId="12" borderId="0" pivotButton="0" quotePrefix="0" xfId="0"/>
    <xf numFmtId="0" fontId="9" fillId="4" borderId="0" pivotButton="0" quotePrefix="0" xfId="0"/>
    <xf numFmtId="0" fontId="1" fillId="4" borderId="0" pivotButton="0" quotePrefix="0" xfId="0"/>
    <xf numFmtId="0" fontId="0" fillId="13" borderId="0" pivotButton="0" quotePrefix="0" xfId="0"/>
    <xf numFmtId="168" fontId="9" fillId="13" borderId="0" pivotButton="0" quotePrefix="0" xfId="0"/>
    <xf numFmtId="0" fontId="1" fillId="13" borderId="0" pivotButton="0" quotePrefix="0" xfId="0"/>
    <xf numFmtId="168" fontId="0" fillId="13" borderId="0" pivotButton="0" quotePrefix="0" xfId="0"/>
    <xf numFmtId="0" fontId="9" fillId="13" borderId="0" pivotButton="0" quotePrefix="0" xfId="0"/>
    <xf numFmtId="0" fontId="2" fillId="14" borderId="0" pivotButton="0" quotePrefix="0" xfId="0"/>
    <xf numFmtId="0" fontId="10" fillId="15" borderId="0" pivotButton="0" quotePrefix="0" xfId="0"/>
    <xf numFmtId="0" fontId="2" fillId="16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1" fillId="4" borderId="0" pivotButton="0" quotePrefix="0" xfId="0"/>
    <xf numFmtId="0" fontId="12" fillId="4" borderId="0" pivotButton="0" quotePrefix="0" xfId="0"/>
    <xf numFmtId="0" fontId="13" fillId="17" borderId="0" pivotButton="0" quotePrefix="0" xfId="0"/>
    <xf numFmtId="0" fontId="14" fillId="18" borderId="3" applyAlignment="1" pivotButton="0" quotePrefix="0" xfId="0">
      <alignment horizontal="center" vertical="center" wrapText="1"/>
    </xf>
    <xf numFmtId="0" fontId="15" fillId="19" borderId="0" pivotButton="0" quotePrefix="0" xfId="0"/>
    <xf numFmtId="0" fontId="16" fillId="20" borderId="3" pivotButton="0" quotePrefix="0" xfId="0"/>
    <xf numFmtId="0" fontId="17" fillId="20" borderId="3" applyAlignment="1" pivotButton="0" quotePrefix="0" xfId="0">
      <alignment horizontal="center"/>
    </xf>
    <xf numFmtId="0" fontId="16" fillId="21" borderId="3" pivotButton="0" quotePrefix="0" xfId="0"/>
    <xf numFmtId="0" fontId="17" fillId="21" borderId="3" applyAlignment="1" pivotButton="0" quotePrefix="0" xfId="0">
      <alignment horizontal="center"/>
    </xf>
  </cellXfs>
  <cellStyles count="1">
    <cellStyle name="Normal" xfId="0" builtinId="0"/>
  </cellStyles>
  <dxfs count="16">
    <dxf>
      <font>
        <color rgb="FF1E5E1E"/>
      </font>
      <fill>
        <patternFill patternType="solid">
          <fgColor indexed="64"/>
          <bgColor rgb="FFC8F0C8"/>
        </patternFill>
      </fill>
    </dxf>
    <dxf>
      <font>
        <color rgb="FF7B3F00"/>
      </font>
      <fill>
        <patternFill patternType="solid">
          <fgColor indexed="64"/>
          <bgColor rgb="FFFFE0B2"/>
        </patternFill>
      </fill>
    </dxf>
    <dxf>
      <font>
        <b val="1"/>
        <color rgb="FFC00000"/>
      </font>
      <fill>
        <patternFill patternType="solid">
          <fgColor indexed="64"/>
          <bgColor rgb="FFFFCCCC"/>
        </patternFill>
      </fill>
    </dxf>
    <dxf>
      <font>
        <color rgb="FF1E5E1E"/>
      </font>
      <fill>
        <patternFill patternType="solid">
          <fgColor indexed="64"/>
          <bgColor rgb="FFC8F0C8"/>
        </patternFill>
      </fill>
    </dxf>
    <dxf>
      <font>
        <color rgb="FF7B3F00"/>
      </font>
      <fill>
        <patternFill patternType="solid">
          <fgColor indexed="64"/>
          <bgColor rgb="FFFFE0B2"/>
        </patternFill>
      </fill>
    </dxf>
    <dxf>
      <font>
        <b val="1"/>
        <color rgb="FFC00000"/>
      </font>
      <fill>
        <patternFill patternType="solid">
          <fgColor indexed="64"/>
          <bgColor rgb="FFFFCCCC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3864"/>
        </patternFill>
      </fill>
      <alignment horizontal="center" vertical="bottom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numFmt numFmtId="166" formatCode="#,##0;\(#,##0\);\-"/>
      <fill>
        <patternFill patternType="solid">
          <fgColor indexed="64"/>
          <bgColor rgb="FFFFFFFF"/>
        </patternFill>
      </fill>
    </dxf>
    <dxf>
      <numFmt numFmtId="3" formatCode="#,##0"/>
      <fill>
        <patternFill patternType="solid">
          <fgColor indexed="64"/>
          <bgColor rgb="FFFFFFFF"/>
        </patternFill>
      </fill>
    </dxf>
    <dxf>
      <numFmt numFmtId="4" formatCode="#,##0.00"/>
      <fill>
        <patternFill patternType="solid">
          <fgColor indexed="64"/>
          <bgColor rgb="FFFFFFFF"/>
        </patternFill>
      </fill>
    </dxf>
    <dxf>
      <numFmt numFmtId="165" formatCode="0.0000%"/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numFmt numFmtId="164" formatCode="yyyy\-mm\-dd"/>
      <fill>
        <patternFill patternType="solid">
          <fgColor indexed="64"/>
          <bgColor rgb="FFFFFFFF"/>
        </patternFill>
      </fill>
    </dxf>
    <dxf>
      <border outline="0">
        <bottom style="medium">
          <color rgb="FF00B0F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1" i="0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Return — EM Fixed Income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1" i="0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Hard Currency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Performance_Report!$B$22:$B$31</f>
              <numCache>
                <formatCode>yyyy\-mm\-dd</formatCode>
                <ptCount val="10"/>
                <pt idx="0">
                  <v>45659</v>
                </pt>
                <pt idx="1">
                  <v>45660</v>
                </pt>
                <pt idx="2">
                  <v>45661</v>
                </pt>
                <pt idx="3">
                  <v>45662</v>
                </pt>
                <pt idx="4">
                  <v>45663</v>
                </pt>
                <pt idx="5">
                  <v>45664</v>
                </pt>
                <pt idx="6">
                  <v>45665</v>
                </pt>
                <pt idx="7">
                  <v>45668</v>
                </pt>
                <pt idx="8">
                  <v>45669</v>
                </pt>
                <pt idx="9">
                  <v>45670</v>
                </pt>
              </numCache>
            </numRef>
          </cat>
          <val>
            <numRef>
              <f>Performance_Report!$D$22:$D$31</f>
              <numCache>
                <formatCode>0.00%</formatCode>
                <ptCount val="10"/>
                <pt idx="0">
                  <v>0.003200000000000092</v>
                </pt>
                <pt idx="1">
                  <v>0.005005760000000192</v>
                </pt>
                <pt idx="2">
                  <v>0.005005760000000192</v>
                </pt>
                <pt idx="3">
                  <v>0.005005760000000192</v>
                </pt>
                <pt idx="4">
                  <v>0.009126283616000208</v>
                </pt>
                <pt idx="5">
                  <v>0.008016244704022624</v>
                </pt>
                <pt idx="6">
                  <v>0.008016244704022624</v>
                </pt>
                <pt idx="7">
                  <v>0.0007585277421535697</v>
                </pt>
                <pt idx="8">
                  <v>0.0007585277421535697</v>
                </pt>
                <pt idx="9">
                  <v>0.003560651619831434</v>
                </pt>
              </numCache>
            </numRef>
          </val>
          <smooth val="0"/>
        </ser>
        <ser>
          <idx val="1"/>
          <order val="1"/>
          <tx>
            <v>Local Currency</v>
          </tx>
          <spPr>
            <a:ln xmlns:a="http://schemas.openxmlformats.org/drawingml/2006/main" w="317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Performance_Report!$B$22:$B$31</f>
              <numCache>
                <formatCode>yyyy\-mm\-dd</formatCode>
                <ptCount val="10"/>
                <pt idx="0">
                  <v>45659</v>
                </pt>
                <pt idx="1">
                  <v>45660</v>
                </pt>
                <pt idx="2">
                  <v>45661</v>
                </pt>
                <pt idx="3">
                  <v>45662</v>
                </pt>
                <pt idx="4">
                  <v>45663</v>
                </pt>
                <pt idx="5">
                  <v>45664</v>
                </pt>
                <pt idx="6">
                  <v>45665</v>
                </pt>
                <pt idx="7">
                  <v>45668</v>
                </pt>
                <pt idx="8">
                  <v>45669</v>
                </pt>
                <pt idx="9">
                  <v>45670</v>
                </pt>
              </numCache>
            </numRef>
          </cat>
          <val>
            <numRef>
              <f>Performance_Report!$F$22:$F$31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-0.004499999999999948</v>
                </pt>
                <pt idx="3">
                  <v>-0.002409449999999924</v>
                </pt>
                <pt idx="4">
                  <v>-0.002409449999999924</v>
                </pt>
                <pt idx="5">
                  <v>-0.002409449999999924</v>
                </pt>
                <pt idx="6">
                  <v>0.003476334245000157</v>
                </pt>
                <pt idx="7">
                  <v>0.003476334245000157</v>
                </pt>
                <pt idx="8">
                  <v>0.004981548746367803</v>
                </pt>
                <pt idx="9">
                  <v>0.004981548746367803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531519"/>
        <axId val="1511531999"/>
      </lineChart>
      <dateAx>
        <axId val="1511531519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11531999"/>
        <crosses val="autoZero"/>
        <lblOffset val="100"/>
        <baseTimeUnit val="days"/>
      </dateAx>
      <valAx>
        <axId val="15115319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Return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.0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CCCCCC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1153151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AFBFD"/>
    </a:solidFill>
    <a:ln xmlns:a="http://schemas.openxmlformats.org/drawingml/2006/main" w="9525" cap="flat" cmpd="sng" algn="ctr">
      <a:solidFill>
        <a:srgbClr val="BDD7EE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33</row>
      <rowOff>0</rowOff>
    </from>
    <to>
      <col>8</col>
      <colOff>0</colOff>
      <row>54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RawData" displayName="tbl_RawData" ref="A1:G688" headerRowCount="1" totalsRowShown="0" headerRowDxfId="6" dataDxfId="7" headerRowBorderDxfId="15">
  <autoFilter ref="A1:G11"/>
  <tableColumns count="7">
    <tableColumn id="1" name="Date" dataDxfId="14"/>
    <tableColumn id="2" name="Fund_Type" dataDxfId="13"/>
    <tableColumn id="3" name="Daily_Return" dataDxfId="12"/>
    <tableColumn id="4" name="Nav" dataDxfId="11"/>
    <tableColumn id="5" name="VaR_95_Estimate" dataDxfId="10"/>
    <tableColumn id="6" name="Actual_PnL" dataDxfId="9"/>
    <tableColumn id="7" name="Regime_Stat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F5496"/>
    <outlinePr summaryBelow="1" summaryRight="1"/>
    <pageSetUpPr/>
  </sheetPr>
  <dimension ref="A1:G1000"/>
  <sheetViews>
    <sheetView showGridLines="0" workbookViewId="0">
      <selection activeCell="H2" sqref="H2"/>
    </sheetView>
  </sheetViews>
  <sheetFormatPr baseColWidth="8" defaultRowHeight="14.25"/>
  <cols>
    <col width="19.53125" customWidth="1" min="1" max="1"/>
    <col width="23.1328125" customWidth="1" min="2" max="2"/>
    <col width="19.53125" customWidth="1" min="3" max="3"/>
    <col width="16" customWidth="1" min="4" max="4"/>
    <col width="21.33203125" customWidth="1" min="5" max="5"/>
    <col width="17.796875" customWidth="1" min="6" max="7"/>
  </cols>
  <sheetData>
    <row r="1" ht="28.05" customHeight="1" thickBot="1">
      <c r="A1" s="1" t="inlineStr">
        <is>
          <t>Date</t>
        </is>
      </c>
      <c r="B1" s="1" t="inlineStr">
        <is>
          <t>Fund_Type</t>
        </is>
      </c>
      <c r="C1" s="1" t="inlineStr">
        <is>
          <t>Daily_Return</t>
        </is>
      </c>
      <c r="D1" s="1" t="inlineStr">
        <is>
          <t>Nav</t>
        </is>
      </c>
      <c r="E1" s="1" t="inlineStr">
        <is>
          <t>VaR_95_Estimate</t>
        </is>
      </c>
      <c r="F1" s="1" t="inlineStr">
        <is>
          <t>Actual_PnL</t>
        </is>
      </c>
      <c r="G1" s="1" t="inlineStr">
        <is>
          <t>Regime_State</t>
        </is>
      </c>
    </row>
    <row r="2">
      <c r="A2" s="4" t="n">
        <v>45414</v>
      </c>
      <c r="B2" s="2" t="inlineStr">
        <is>
          <t>Hard Currency</t>
        </is>
      </c>
      <c r="C2" s="7" t="n">
        <v>0.006172</v>
      </c>
      <c r="D2" s="10" t="n">
        <v>1006.17</v>
      </c>
      <c r="E2" s="13" t="n">
        <v>0.009180000000000001</v>
      </c>
      <c r="F2" s="16" t="n">
        <v>0.006172</v>
      </c>
      <c r="G2" s="2" t="inlineStr">
        <is>
          <t>Rate Shock</t>
        </is>
      </c>
    </row>
    <row r="3">
      <c r="A3" s="5" t="n">
        <v>45414</v>
      </c>
      <c r="B3" s="3" t="inlineStr">
        <is>
          <t>Local Currency</t>
        </is>
      </c>
      <c r="C3" s="8" t="n">
        <v>0.012952</v>
      </c>
      <c r="D3" s="11" t="n">
        <v>1012.95</v>
      </c>
      <c r="E3" s="14" t="n">
        <v>0.005309</v>
      </c>
      <c r="F3" s="17" t="n">
        <v>0.012952</v>
      </c>
      <c r="G3" s="3" t="inlineStr">
        <is>
          <t>Rate Shock</t>
        </is>
      </c>
    </row>
    <row r="4">
      <c r="A4" s="4" t="n">
        <v>45419</v>
      </c>
      <c r="B4" s="2" t="inlineStr">
        <is>
          <t>Hard Currency</t>
        </is>
      </c>
      <c r="C4" s="7" t="n">
        <v>0.00561</v>
      </c>
      <c r="D4" s="10" t="n">
        <v>1011.82</v>
      </c>
      <c r="E4" s="13" t="n">
        <v>0.009180000000000001</v>
      </c>
      <c r="F4" s="16" t="n">
        <v>0.00561</v>
      </c>
      <c r="G4" s="2" t="inlineStr">
        <is>
          <t>Normal</t>
        </is>
      </c>
    </row>
    <row r="5">
      <c r="A5" s="5" t="n">
        <v>45419</v>
      </c>
      <c r="B5" s="3" t="inlineStr">
        <is>
          <t>Local Currency</t>
        </is>
      </c>
      <c r="C5" s="8" t="n">
        <v>0.000316</v>
      </c>
      <c r="D5" s="11" t="n">
        <v>1013.27</v>
      </c>
      <c r="E5" s="14" t="n">
        <v>0.005309</v>
      </c>
      <c r="F5" s="17" t="n">
        <v>0.000316</v>
      </c>
      <c r="G5" s="3" t="inlineStr">
        <is>
          <t>Normal</t>
        </is>
      </c>
    </row>
    <row r="6">
      <c r="A6" s="4" t="n">
        <v>45420</v>
      </c>
      <c r="B6" s="2" t="inlineStr">
        <is>
          <t>Hard Currency</t>
        </is>
      </c>
      <c r="C6" s="7" t="n">
        <v>-0.001299</v>
      </c>
      <c r="D6" s="10" t="n">
        <v>1010.5</v>
      </c>
      <c r="E6" s="13" t="n">
        <v>0.008935</v>
      </c>
      <c r="F6" s="16" t="n">
        <v>-0.001299</v>
      </c>
      <c r="G6" s="2" t="inlineStr">
        <is>
          <t>Normal</t>
        </is>
      </c>
    </row>
    <row r="7">
      <c r="A7" s="5" t="n">
        <v>45420</v>
      </c>
      <c r="B7" s="3" t="inlineStr">
        <is>
          <t>Local Currency</t>
        </is>
      </c>
      <c r="C7" s="8" t="n">
        <v>-0.001832</v>
      </c>
      <c r="D7" s="11" t="n">
        <v>1011.42</v>
      </c>
      <c r="E7" s="14" t="n">
        <v>0.005309</v>
      </c>
      <c r="F7" s="17" t="n">
        <v>-0.001832</v>
      </c>
      <c r="G7" s="3" t="inlineStr">
        <is>
          <t>Normal</t>
        </is>
      </c>
    </row>
    <row r="8">
      <c r="A8" s="4" t="n">
        <v>45421</v>
      </c>
      <c r="B8" s="2" t="inlineStr">
        <is>
          <t>Hard Currency</t>
        </is>
      </c>
      <c r="C8" s="7" t="n">
        <v>-0.003681</v>
      </c>
      <c r="D8" s="10" t="n">
        <v>1006.78</v>
      </c>
      <c r="E8" s="13" t="n">
        <v>0.008935</v>
      </c>
      <c r="F8" s="16" t="n">
        <v>-0.003681</v>
      </c>
      <c r="G8" s="2" t="inlineStr">
        <is>
          <t>Normal</t>
        </is>
      </c>
    </row>
    <row r="9">
      <c r="A9" s="5" t="n">
        <v>45421</v>
      </c>
      <c r="B9" s="3" t="inlineStr">
        <is>
          <t>Local Currency</t>
        </is>
      </c>
      <c r="C9" s="8" t="n">
        <v>-0.002203</v>
      </c>
      <c r="D9" s="11" t="n">
        <v>1009.19</v>
      </c>
      <c r="E9" s="14" t="n">
        <v>0.00516</v>
      </c>
      <c r="F9" s="17" t="n">
        <v>-0.002203</v>
      </c>
      <c r="G9" s="3" t="inlineStr">
        <is>
          <t>Normal</t>
        </is>
      </c>
    </row>
    <row r="10">
      <c r="A10" s="4" t="n">
        <v>45422</v>
      </c>
      <c r="B10" s="2" t="inlineStr">
        <is>
          <t>Hard Currency</t>
        </is>
      </c>
      <c r="C10" s="7" t="n">
        <v>-0.002564</v>
      </c>
      <c r="D10" s="10" t="n">
        <v>1004.2</v>
      </c>
      <c r="E10" s="13" t="n">
        <v>0.008838</v>
      </c>
      <c r="F10" s="16" t="n">
        <v>-0.002564</v>
      </c>
      <c r="G10" s="2" t="inlineStr">
        <is>
          <t>Normal</t>
        </is>
      </c>
    </row>
    <row r="11">
      <c r="A11" s="5" t="n">
        <v>45422</v>
      </c>
      <c r="B11" s="3" t="inlineStr">
        <is>
          <t>Local Currency</t>
        </is>
      </c>
      <c r="C11" s="8" t="n">
        <v>-0.00247</v>
      </c>
      <c r="D11" s="11" t="n">
        <v>1006.69</v>
      </c>
      <c r="E11" s="14" t="n">
        <v>0.00516</v>
      </c>
      <c r="F11" s="17" t="n">
        <v>-0.00247</v>
      </c>
      <c r="G11" s="3" t="inlineStr">
        <is>
          <t>Normal</t>
        </is>
      </c>
    </row>
    <row r="12">
      <c r="A12" s="6" t="n">
        <v>45426</v>
      </c>
      <c r="B12" t="inlineStr">
        <is>
          <t>Hard Currency</t>
        </is>
      </c>
      <c r="C12" s="9" t="n">
        <v>0.002532</v>
      </c>
      <c r="D12" s="12" t="n">
        <v>1006.74</v>
      </c>
      <c r="E12" s="15" t="n">
        <v>0.008838</v>
      </c>
      <c r="F12" s="18" t="n">
        <v>0.002532</v>
      </c>
      <c r="G12" t="inlineStr">
        <is>
          <t>Normal</t>
        </is>
      </c>
    </row>
    <row r="13">
      <c r="A13" s="6" t="n">
        <v>45426</v>
      </c>
      <c r="B13" t="inlineStr">
        <is>
          <t>Local Currency</t>
        </is>
      </c>
      <c r="C13" s="9" t="n">
        <v>0.001367</v>
      </c>
      <c r="D13" s="12" t="n">
        <v>1008.07</v>
      </c>
      <c r="E13" s="15" t="n">
        <v>0.00516</v>
      </c>
      <c r="F13" s="18" t="n">
        <v>0.001367</v>
      </c>
      <c r="G13" t="inlineStr">
        <is>
          <t>Normal</t>
        </is>
      </c>
    </row>
    <row r="14">
      <c r="A14" s="6" t="n">
        <v>45427</v>
      </c>
      <c r="B14" t="inlineStr">
        <is>
          <t>Hard Currency</t>
        </is>
      </c>
      <c r="C14" s="9" t="n">
        <v>0.005807</v>
      </c>
      <c r="D14" s="12" t="n">
        <v>1012.59</v>
      </c>
      <c r="E14" s="15" t="n">
        <v>0.008692</v>
      </c>
      <c r="F14" s="18" t="n">
        <v>0.005807</v>
      </c>
      <c r="G14" t="inlineStr">
        <is>
          <t>Normal</t>
        </is>
      </c>
    </row>
    <row r="15">
      <c r="A15" s="6" t="n">
        <v>45427</v>
      </c>
      <c r="B15" t="inlineStr">
        <is>
          <t>Local Currency</t>
        </is>
      </c>
      <c r="C15" s="9" t="n">
        <v>0.00468</v>
      </c>
      <c r="D15" s="12" t="n">
        <v>1012.79</v>
      </c>
      <c r="E15" s="15" t="n">
        <v>0.00516</v>
      </c>
      <c r="F15" s="18" t="n">
        <v>0.00468</v>
      </c>
      <c r="G15" t="inlineStr">
        <is>
          <t>Normal</t>
        </is>
      </c>
    </row>
    <row r="16">
      <c r="A16" s="6" t="n">
        <v>45428</v>
      </c>
      <c r="B16" t="inlineStr">
        <is>
          <t>Hard Currency</t>
        </is>
      </c>
      <c r="C16" s="9" t="n">
        <v>0.001204</v>
      </c>
      <c r="D16" s="12" t="n">
        <v>1013.81</v>
      </c>
      <c r="E16" s="15" t="n">
        <v>0.008237</v>
      </c>
      <c r="F16" s="18" t="n">
        <v>0.001204</v>
      </c>
      <c r="G16" t="inlineStr">
        <is>
          <t>Normal</t>
        </is>
      </c>
    </row>
    <row r="17">
      <c r="A17" s="6" t="n">
        <v>45428</v>
      </c>
      <c r="B17" t="inlineStr">
        <is>
          <t>Local Currency</t>
        </is>
      </c>
      <c r="C17" s="9" t="n">
        <v>-0.000344</v>
      </c>
      <c r="D17" s="12" t="n">
        <v>1012.44</v>
      </c>
      <c r="E17" s="15" t="n">
        <v>0.004887</v>
      </c>
      <c r="F17" s="18" t="n">
        <v>-0.000344</v>
      </c>
      <c r="G17" t="inlineStr">
        <is>
          <t>Normal</t>
        </is>
      </c>
    </row>
    <row r="18">
      <c r="A18" s="6" t="n">
        <v>45429</v>
      </c>
      <c r="B18" t="inlineStr">
        <is>
          <t>Hard Currency</t>
        </is>
      </c>
      <c r="C18" s="9" t="n">
        <v>-0.003022</v>
      </c>
      <c r="D18" s="12" t="n">
        <v>1010.74</v>
      </c>
      <c r="E18" s="15" t="n">
        <v>0.007351</v>
      </c>
      <c r="F18" s="18" t="n">
        <v>-0.003022</v>
      </c>
      <c r="G18" t="inlineStr">
        <is>
          <t>Normal</t>
        </is>
      </c>
    </row>
    <row r="19">
      <c r="A19" s="6" t="n">
        <v>45429</v>
      </c>
      <c r="B19" t="inlineStr">
        <is>
          <t>Local Currency</t>
        </is>
      </c>
      <c r="C19" s="9" t="n">
        <v>-0.002684</v>
      </c>
      <c r="D19" s="12" t="n">
        <v>1009.72</v>
      </c>
      <c r="E19" s="15" t="n">
        <v>0.004887</v>
      </c>
      <c r="F19" s="18" t="n">
        <v>-0.002684</v>
      </c>
      <c r="G19" t="inlineStr">
        <is>
          <t>Normal</t>
        </is>
      </c>
    </row>
    <row r="20">
      <c r="A20" s="6" t="n">
        <v>45433</v>
      </c>
      <c r="B20" t="inlineStr">
        <is>
          <t>Hard Currency</t>
        </is>
      </c>
      <c r="C20" s="9" t="n">
        <v>0.001771</v>
      </c>
      <c r="D20" s="12" t="n">
        <v>1012.54</v>
      </c>
      <c r="E20" s="15" t="n">
        <v>0.007351</v>
      </c>
      <c r="F20" s="18" t="n">
        <v>0.001771</v>
      </c>
      <c r="G20" t="inlineStr">
        <is>
          <t>Normal</t>
        </is>
      </c>
    </row>
    <row r="21">
      <c r="A21" s="6" t="n">
        <v>45433</v>
      </c>
      <c r="B21" t="inlineStr">
        <is>
          <t>Local Currency</t>
        </is>
      </c>
      <c r="C21" s="9" t="n">
        <v>0.001994</v>
      </c>
      <c r="D21" s="12" t="n">
        <v>1011.74</v>
      </c>
      <c r="E21" s="15" t="n">
        <v>0.004887</v>
      </c>
      <c r="F21" s="18" t="n">
        <v>0.001994</v>
      </c>
      <c r="G21" t="inlineStr">
        <is>
          <t>Normal</t>
        </is>
      </c>
    </row>
    <row r="22">
      <c r="A22" s="6" t="n">
        <v>45434</v>
      </c>
      <c r="B22" t="inlineStr">
        <is>
          <t>Hard Currency</t>
        </is>
      </c>
      <c r="C22" s="9" t="n">
        <v>-0.00256</v>
      </c>
      <c r="D22" s="12" t="n">
        <v>1009.94</v>
      </c>
      <c r="E22" s="15" t="n">
        <v>0.007351</v>
      </c>
      <c r="F22" s="18" t="n">
        <v>-0.00256</v>
      </c>
      <c r="G22" t="inlineStr">
        <is>
          <t>Normal</t>
        </is>
      </c>
    </row>
    <row r="23">
      <c r="A23" s="6" t="n">
        <v>45434</v>
      </c>
      <c r="B23" t="inlineStr">
        <is>
          <t>Local Currency</t>
        </is>
      </c>
      <c r="C23" s="9" t="n">
        <v>-0.003143</v>
      </c>
      <c r="D23" s="12" t="n">
        <v>1008.56</v>
      </c>
      <c r="E23" s="15" t="n">
        <v>0.004887</v>
      </c>
      <c r="F23" s="18" t="n">
        <v>-0.003143</v>
      </c>
      <c r="G23" t="inlineStr">
        <is>
          <t>Normal</t>
        </is>
      </c>
    </row>
    <row r="24">
      <c r="A24" s="6" t="n">
        <v>45435</v>
      </c>
      <c r="B24" t="inlineStr">
        <is>
          <t>Hard Currency</t>
        </is>
      </c>
      <c r="C24" s="9" t="n">
        <v>-0.005739</v>
      </c>
      <c r="D24" s="12" t="n">
        <v>1004.15</v>
      </c>
      <c r="E24" s="15" t="n">
        <v>0.007351</v>
      </c>
      <c r="F24" s="18" t="n">
        <v>-0.005739</v>
      </c>
      <c r="G24" t="inlineStr">
        <is>
          <t>Normal</t>
        </is>
      </c>
    </row>
    <row r="25">
      <c r="A25" s="6" t="n">
        <v>45435</v>
      </c>
      <c r="B25" t="inlineStr">
        <is>
          <t>Local Currency</t>
        </is>
      </c>
      <c r="C25" s="9" t="n">
        <v>-0.002106</v>
      </c>
      <c r="D25" s="12" t="n">
        <v>1006.43</v>
      </c>
      <c r="E25" s="15" t="n">
        <v>0.004887</v>
      </c>
      <c r="F25" s="18" t="n">
        <v>-0.002106</v>
      </c>
      <c r="G25" t="inlineStr">
        <is>
          <t>Normal</t>
        </is>
      </c>
    </row>
    <row r="26">
      <c r="A26" s="6" t="n">
        <v>45436</v>
      </c>
      <c r="B26" t="inlineStr">
        <is>
          <t>Hard Currency</t>
        </is>
      </c>
      <c r="C26" s="9" t="n">
        <v>-0.003724</v>
      </c>
      <c r="D26" s="12" t="n">
        <v>1000.41</v>
      </c>
      <c r="E26" s="15" t="n">
        <v>0.007351</v>
      </c>
      <c r="F26" s="18" t="n">
        <v>-0.003724</v>
      </c>
      <c r="G26" t="inlineStr">
        <is>
          <t>Normal</t>
        </is>
      </c>
    </row>
    <row r="27">
      <c r="A27" s="6" t="n">
        <v>45436</v>
      </c>
      <c r="B27" t="inlineStr">
        <is>
          <t>Local Currency</t>
        </is>
      </c>
      <c r="C27" s="9" t="n">
        <v>-0.001824</v>
      </c>
      <c r="D27" s="12" t="n">
        <v>1004.6</v>
      </c>
      <c r="E27" s="15" t="n">
        <v>0.004887</v>
      </c>
      <c r="F27" s="18" t="n">
        <v>-0.001824</v>
      </c>
      <c r="G27" t="inlineStr">
        <is>
          <t>Normal</t>
        </is>
      </c>
    </row>
    <row r="28">
      <c r="A28" s="6" t="n">
        <v>45440</v>
      </c>
      <c r="B28" t="inlineStr">
        <is>
          <t>Local Currency</t>
        </is>
      </c>
      <c r="C28" s="9" t="n">
        <v>-0.000369</v>
      </c>
      <c r="D28" s="12" t="n">
        <v>1004.22</v>
      </c>
      <c r="E28" s="15" t="n">
        <v>0.004887</v>
      </c>
      <c r="F28" s="18" t="n">
        <v>-0.000369</v>
      </c>
      <c r="G28" t="inlineStr">
        <is>
          <t>Normal</t>
        </is>
      </c>
    </row>
    <row r="29">
      <c r="A29" s="6" t="n">
        <v>45447</v>
      </c>
      <c r="B29" t="inlineStr">
        <is>
          <t>Hard Currency</t>
        </is>
      </c>
      <c r="C29" s="9" t="n">
        <v>0.001236</v>
      </c>
      <c r="D29" s="12" t="n">
        <v>1001.64</v>
      </c>
      <c r="E29" s="15" t="n">
        <v>0.007351</v>
      </c>
      <c r="F29" s="18" t="n">
        <v>0.001236</v>
      </c>
      <c r="G29" t="inlineStr">
        <is>
          <t>Normal</t>
        </is>
      </c>
    </row>
    <row r="30">
      <c r="A30" s="6" t="n">
        <v>45447</v>
      </c>
      <c r="B30" t="inlineStr">
        <is>
          <t>Local Currency</t>
        </is>
      </c>
      <c r="C30" s="9" t="n">
        <v>0.000449</v>
      </c>
      <c r="D30" s="12" t="n">
        <v>1004.68</v>
      </c>
      <c r="E30" s="15" t="n">
        <v>0.00468</v>
      </c>
      <c r="F30" s="18" t="n">
        <v>0.000449</v>
      </c>
      <c r="G30" t="inlineStr">
        <is>
          <t>Normal</t>
        </is>
      </c>
    </row>
    <row r="31">
      <c r="A31" s="6" t="n">
        <v>45453</v>
      </c>
      <c r="B31" t="inlineStr">
        <is>
          <t>Hard Currency</t>
        </is>
      </c>
      <c r="C31" s="9" t="n">
        <v>-0.003187</v>
      </c>
      <c r="D31" s="12" t="n">
        <v>998.45</v>
      </c>
      <c r="E31" s="15" t="n">
        <v>0.007351</v>
      </c>
      <c r="F31" s="18" t="n">
        <v>-0.003187</v>
      </c>
      <c r="G31" t="inlineStr">
        <is>
          <t>Rate Shock</t>
        </is>
      </c>
    </row>
    <row r="32">
      <c r="A32" s="6" t="n">
        <v>45453</v>
      </c>
      <c r="B32" t="inlineStr">
        <is>
          <t>Local Currency</t>
        </is>
      </c>
      <c r="C32" s="9" t="n">
        <v>-0.004829</v>
      </c>
      <c r="D32" s="12" t="n">
        <v>999.8200000000001</v>
      </c>
      <c r="E32" s="15" t="n">
        <v>0.004782</v>
      </c>
      <c r="F32" s="18" t="n">
        <v>-0.004829</v>
      </c>
      <c r="G32" t="inlineStr">
        <is>
          <t>Rate Shock</t>
        </is>
      </c>
    </row>
    <row r="33">
      <c r="A33" s="6" t="n">
        <v>45454</v>
      </c>
      <c r="B33" t="inlineStr">
        <is>
          <t>Hard Currency</t>
        </is>
      </c>
      <c r="C33" s="9" t="n">
        <v>-0.001279</v>
      </c>
      <c r="D33" s="12" t="n">
        <v>997.1799999999999</v>
      </c>
      <c r="E33" s="15" t="n">
        <v>0.007351</v>
      </c>
      <c r="F33" s="18" t="n">
        <v>-0.001279</v>
      </c>
      <c r="G33" t="inlineStr">
        <is>
          <t>Normal</t>
        </is>
      </c>
    </row>
    <row r="34">
      <c r="A34" s="6" t="n">
        <v>45454</v>
      </c>
      <c r="B34" t="inlineStr">
        <is>
          <t>Local Currency</t>
        </is>
      </c>
      <c r="C34" s="9" t="n">
        <v>-0.000719</v>
      </c>
      <c r="D34" s="12" t="n">
        <v>999.1</v>
      </c>
      <c r="E34" s="15" t="n">
        <v>0.004782</v>
      </c>
      <c r="F34" s="18" t="n">
        <v>-0.000719</v>
      </c>
      <c r="G34" t="inlineStr">
        <is>
          <t>Normal</t>
        </is>
      </c>
    </row>
    <row r="35">
      <c r="A35" s="6" t="n">
        <v>45455</v>
      </c>
      <c r="B35" t="inlineStr">
        <is>
          <t>Hard Currency</t>
        </is>
      </c>
      <c r="C35" s="9" t="n">
        <v>0.000504</v>
      </c>
      <c r="D35" s="12" t="n">
        <v>997.6799999999999</v>
      </c>
      <c r="E35" s="15" t="n">
        <v>0.007351</v>
      </c>
      <c r="F35" s="18" t="n">
        <v>0.000504</v>
      </c>
      <c r="G35" t="inlineStr">
        <is>
          <t>Normal</t>
        </is>
      </c>
    </row>
    <row r="36">
      <c r="A36" s="6" t="n">
        <v>45455</v>
      </c>
      <c r="B36" t="inlineStr">
        <is>
          <t>Local Currency</t>
        </is>
      </c>
      <c r="C36" s="9" t="n">
        <v>-0.000977</v>
      </c>
      <c r="D36" s="12" t="n">
        <v>998.13</v>
      </c>
      <c r="E36" s="15" t="n">
        <v>0.004782</v>
      </c>
      <c r="F36" s="18" t="n">
        <v>-0.000977</v>
      </c>
      <c r="G36" t="inlineStr">
        <is>
          <t>Normal</t>
        </is>
      </c>
    </row>
    <row r="37">
      <c r="A37" s="6" t="n">
        <v>45456</v>
      </c>
      <c r="B37" t="inlineStr">
        <is>
          <t>Hard Currency</t>
        </is>
      </c>
      <c r="C37" s="9" t="n">
        <v>-0.003375</v>
      </c>
      <c r="D37" s="12" t="n">
        <v>994.3099999999999</v>
      </c>
      <c r="E37" s="15" t="n">
        <v>0.007351</v>
      </c>
      <c r="F37" s="18" t="n">
        <v>-0.003375</v>
      </c>
      <c r="G37" t="inlineStr">
        <is>
          <t>Normal</t>
        </is>
      </c>
    </row>
    <row r="38">
      <c r="A38" s="6" t="n">
        <v>45456</v>
      </c>
      <c r="B38" t="inlineStr">
        <is>
          <t>Local Currency</t>
        </is>
      </c>
      <c r="C38" s="9" t="n">
        <v>0.002123</v>
      </c>
      <c r="D38" s="12" t="n">
        <v>1000.25</v>
      </c>
      <c r="E38" s="15" t="n">
        <v>0.004782</v>
      </c>
      <c r="F38" s="18" t="n">
        <v>0.002123</v>
      </c>
      <c r="G38" t="inlineStr">
        <is>
          <t>Normal</t>
        </is>
      </c>
    </row>
    <row r="39">
      <c r="A39" s="6" t="n">
        <v>45457</v>
      </c>
      <c r="B39" t="inlineStr">
        <is>
          <t>Hard Currency</t>
        </is>
      </c>
      <c r="C39" s="9" t="n">
        <v>0.001845</v>
      </c>
      <c r="D39" s="12" t="n">
        <v>996.15</v>
      </c>
      <c r="E39" s="15" t="n">
        <v>0.007351</v>
      </c>
      <c r="F39" s="18" t="n">
        <v>0.001845</v>
      </c>
      <c r="G39" t="inlineStr">
        <is>
          <t>Normal</t>
        </is>
      </c>
    </row>
    <row r="40">
      <c r="A40" s="6" t="n">
        <v>45457</v>
      </c>
      <c r="B40" t="inlineStr">
        <is>
          <t>Local Currency</t>
        </is>
      </c>
      <c r="C40" s="9" t="n">
        <v>0.001665</v>
      </c>
      <c r="D40" s="12" t="n">
        <v>1001.91</v>
      </c>
      <c r="E40" s="15" t="n">
        <v>0.004782</v>
      </c>
      <c r="F40" s="18" t="n">
        <v>0.001665</v>
      </c>
      <c r="G40" t="inlineStr">
        <is>
          <t>Normal</t>
        </is>
      </c>
    </row>
    <row r="41">
      <c r="A41" s="6" t="n">
        <v>45461</v>
      </c>
      <c r="B41" t="inlineStr">
        <is>
          <t>Hard Currency</t>
        </is>
      </c>
      <c r="C41" s="9" t="n">
        <v>0.001664</v>
      </c>
      <c r="D41" s="12" t="n">
        <v>997.8</v>
      </c>
      <c r="E41" s="15" t="n">
        <v>0.006241</v>
      </c>
      <c r="F41" s="18" t="n">
        <v>0.001664</v>
      </c>
      <c r="G41" t="inlineStr">
        <is>
          <t>Rate Shock</t>
        </is>
      </c>
    </row>
    <row r="42">
      <c r="A42" s="6" t="n">
        <v>45461</v>
      </c>
      <c r="B42" t="inlineStr">
        <is>
          <t>Local Currency</t>
        </is>
      </c>
      <c r="C42" s="9" t="n">
        <v>0.004332</v>
      </c>
      <c r="D42" s="12" t="n">
        <v>1006.25</v>
      </c>
      <c r="E42" s="15" t="n">
        <v>0.004782</v>
      </c>
      <c r="F42" s="18" t="n">
        <v>0.004332</v>
      </c>
      <c r="G42" t="inlineStr">
        <is>
          <t>Rate Shock</t>
        </is>
      </c>
    </row>
    <row r="43">
      <c r="A43" s="6" t="n">
        <v>45462</v>
      </c>
      <c r="B43" t="inlineStr">
        <is>
          <t>Hard Currency</t>
        </is>
      </c>
      <c r="C43" s="9" t="n">
        <v>0.0005240000000000001</v>
      </c>
      <c r="D43" s="12" t="n">
        <v>998.33</v>
      </c>
      <c r="E43" s="15" t="n">
        <v>0.006241</v>
      </c>
      <c r="F43" s="18" t="n">
        <v>0.0005240000000000001</v>
      </c>
      <c r="G43" t="inlineStr">
        <is>
          <t>Normal</t>
        </is>
      </c>
    </row>
    <row r="44">
      <c r="A44" s="6" t="n">
        <v>45462</v>
      </c>
      <c r="B44" t="inlineStr">
        <is>
          <t>Local Currency</t>
        </is>
      </c>
      <c r="C44" s="9" t="n">
        <v>-0.000453</v>
      </c>
      <c r="D44" s="12" t="n">
        <v>1005.8</v>
      </c>
      <c r="E44" s="15" t="n">
        <v>0.004782</v>
      </c>
      <c r="F44" s="18" t="n">
        <v>-0.000453</v>
      </c>
      <c r="G44" t="inlineStr">
        <is>
          <t>Normal</t>
        </is>
      </c>
    </row>
    <row r="45">
      <c r="A45" s="6" t="n">
        <v>45463</v>
      </c>
      <c r="B45" t="inlineStr">
        <is>
          <t>Hard Currency</t>
        </is>
      </c>
      <c r="C45" s="9" t="n">
        <v>0.001173</v>
      </c>
      <c r="D45" s="12" t="n">
        <v>999.5</v>
      </c>
      <c r="E45" s="15" t="n">
        <v>0.006241</v>
      </c>
      <c r="F45" s="18" t="n">
        <v>0.001173</v>
      </c>
      <c r="G45" t="inlineStr">
        <is>
          <t>Risk-On</t>
        </is>
      </c>
    </row>
    <row r="46">
      <c r="A46" s="6" t="n">
        <v>45463</v>
      </c>
      <c r="B46" t="inlineStr">
        <is>
          <t>Local Currency</t>
        </is>
      </c>
      <c r="C46" s="9" t="n">
        <v>0.00179</v>
      </c>
      <c r="D46" s="12" t="n">
        <v>1007.6</v>
      </c>
      <c r="E46" s="15" t="n">
        <v>0.004782</v>
      </c>
      <c r="F46" s="18" t="n">
        <v>0.00179</v>
      </c>
      <c r="G46" t="inlineStr">
        <is>
          <t>Risk-On</t>
        </is>
      </c>
    </row>
    <row r="47">
      <c r="A47" s="6" t="n">
        <v>45464</v>
      </c>
      <c r="B47" t="inlineStr">
        <is>
          <t>Hard Currency</t>
        </is>
      </c>
      <c r="C47" s="9" t="n">
        <v>0.000165</v>
      </c>
      <c r="D47" s="12" t="n">
        <v>999.66</v>
      </c>
      <c r="E47" s="15" t="n">
        <v>0.006241</v>
      </c>
      <c r="F47" s="18" t="n">
        <v>0.000165</v>
      </c>
      <c r="G47" t="inlineStr">
        <is>
          <t>Risk-On</t>
        </is>
      </c>
    </row>
    <row r="48">
      <c r="A48" s="6" t="n">
        <v>45464</v>
      </c>
      <c r="B48" t="inlineStr">
        <is>
          <t>Local Currency</t>
        </is>
      </c>
      <c r="C48" s="9" t="n">
        <v>0.001208</v>
      </c>
      <c r="D48" s="12" t="n">
        <v>1008.81</v>
      </c>
      <c r="E48" s="15" t="n">
        <v>0.004782</v>
      </c>
      <c r="F48" s="18" t="n">
        <v>0.001208</v>
      </c>
      <c r="G48" t="inlineStr">
        <is>
          <t>Risk-On</t>
        </is>
      </c>
    </row>
    <row r="49">
      <c r="A49" s="6" t="n">
        <v>45468</v>
      </c>
      <c r="B49" t="inlineStr">
        <is>
          <t>Hard Currency</t>
        </is>
      </c>
      <c r="C49" s="9" t="n">
        <v>0.000932</v>
      </c>
      <c r="D49" s="12" t="n">
        <v>1000.59</v>
      </c>
      <c r="E49" s="15" t="n">
        <v>0.006241</v>
      </c>
      <c r="F49" s="18" t="n">
        <v>0.000932</v>
      </c>
      <c r="G49" t="inlineStr">
        <is>
          <t>Normal</t>
        </is>
      </c>
    </row>
    <row r="50">
      <c r="A50" s="6" t="n">
        <v>45468</v>
      </c>
      <c r="B50" t="inlineStr">
        <is>
          <t>Local Currency</t>
        </is>
      </c>
      <c r="C50" s="9" t="n">
        <v>-0.000186</v>
      </c>
      <c r="D50" s="12" t="n">
        <v>1008.63</v>
      </c>
      <c r="E50" s="15" t="n">
        <v>0.004782</v>
      </c>
      <c r="F50" s="18" t="n">
        <v>-0.000186</v>
      </c>
      <c r="G50" t="inlineStr">
        <is>
          <t>Normal</t>
        </is>
      </c>
    </row>
    <row r="51">
      <c r="A51" s="6" t="n">
        <v>45469</v>
      </c>
      <c r="B51" t="inlineStr">
        <is>
          <t>Hard Currency</t>
        </is>
      </c>
      <c r="C51" s="9" t="n">
        <v>-0.000252</v>
      </c>
      <c r="D51" s="12" t="n">
        <v>1000.34</v>
      </c>
      <c r="E51" s="15" t="n">
        <v>0.006241</v>
      </c>
      <c r="F51" s="18" t="n">
        <v>-0.000252</v>
      </c>
      <c r="G51" t="inlineStr">
        <is>
          <t>Risk-On</t>
        </is>
      </c>
    </row>
    <row r="52">
      <c r="A52" s="6" t="n">
        <v>45469</v>
      </c>
      <c r="B52" t="inlineStr">
        <is>
          <t>Local Currency</t>
        </is>
      </c>
      <c r="C52" s="9" t="n">
        <v>-0.001465</v>
      </c>
      <c r="D52" s="12" t="n">
        <v>1007.15</v>
      </c>
      <c r="E52" s="15" t="n">
        <v>0.004782</v>
      </c>
      <c r="F52" s="18" t="n">
        <v>-0.001465</v>
      </c>
      <c r="G52" t="inlineStr">
        <is>
          <t>Risk-On</t>
        </is>
      </c>
    </row>
    <row r="53">
      <c r="A53" s="6" t="n">
        <v>45470</v>
      </c>
      <c r="B53" t="inlineStr">
        <is>
          <t>Hard Currency</t>
        </is>
      </c>
      <c r="C53" s="9" t="n">
        <v>-0.000395</v>
      </c>
      <c r="D53" s="12" t="n">
        <v>999.95</v>
      </c>
      <c r="E53" s="15" t="n">
        <v>0.005736</v>
      </c>
      <c r="F53" s="18" t="n">
        <v>-0.000395</v>
      </c>
      <c r="G53" t="inlineStr">
        <is>
          <t>Rate Shock</t>
        </is>
      </c>
    </row>
    <row r="54">
      <c r="A54" s="6" t="n">
        <v>45470</v>
      </c>
      <c r="B54" t="inlineStr">
        <is>
          <t>Local Currency</t>
        </is>
      </c>
      <c r="C54" s="9" t="n">
        <v>-0.003152</v>
      </c>
      <c r="D54" s="12" t="n">
        <v>1003.98</v>
      </c>
      <c r="E54" s="15" t="n">
        <v>0.004782</v>
      </c>
      <c r="F54" s="18" t="n">
        <v>-0.003152</v>
      </c>
      <c r="G54" t="inlineStr">
        <is>
          <t>Rate Shock</t>
        </is>
      </c>
    </row>
    <row r="55">
      <c r="A55" s="6" t="n">
        <v>45471</v>
      </c>
      <c r="B55" t="inlineStr">
        <is>
          <t>Hard Currency</t>
        </is>
      </c>
      <c r="C55" s="9" t="n">
        <v>0.000619</v>
      </c>
      <c r="D55" s="12" t="n">
        <v>1000.57</v>
      </c>
      <c r="E55" s="15" t="n">
        <v>0.005736</v>
      </c>
      <c r="F55" s="18" t="n">
        <v>0.000619</v>
      </c>
      <c r="G55" t="inlineStr">
        <is>
          <t>Normal</t>
        </is>
      </c>
    </row>
    <row r="56">
      <c r="A56" s="6" t="n">
        <v>45471</v>
      </c>
      <c r="B56" t="inlineStr">
        <is>
          <t>Local Currency</t>
        </is>
      </c>
      <c r="C56" s="9" t="n">
        <v>0.001383</v>
      </c>
      <c r="D56" s="12" t="n">
        <v>1005.36</v>
      </c>
      <c r="E56" s="15" t="n">
        <v>0.004782</v>
      </c>
      <c r="F56" s="18" t="n">
        <v>0.001383</v>
      </c>
      <c r="G56" t="inlineStr">
        <is>
          <t>Normal</t>
        </is>
      </c>
    </row>
    <row r="57">
      <c r="A57" s="6" t="n">
        <v>45475</v>
      </c>
      <c r="B57" t="inlineStr">
        <is>
          <t>Hard Currency</t>
        </is>
      </c>
      <c r="C57" s="9" t="n">
        <v>-0.001802</v>
      </c>
      <c r="D57" s="12" t="n">
        <v>998.76</v>
      </c>
      <c r="E57" s="15" t="n">
        <v>0.005665</v>
      </c>
      <c r="F57" s="18" t="n">
        <v>-0.001802</v>
      </c>
      <c r="G57" t="inlineStr">
        <is>
          <t>Normal</t>
        </is>
      </c>
    </row>
    <row r="58">
      <c r="A58" s="6" t="n">
        <v>45475</v>
      </c>
      <c r="B58" t="inlineStr">
        <is>
          <t>Local Currency</t>
        </is>
      </c>
      <c r="C58" s="9" t="n">
        <v>-0.000448</v>
      </c>
      <c r="D58" s="12" t="n">
        <v>1004.91</v>
      </c>
      <c r="E58" s="15" t="n">
        <v>0.004782</v>
      </c>
      <c r="F58" s="18" t="n">
        <v>-0.000448</v>
      </c>
      <c r="G58" t="inlineStr">
        <is>
          <t>Normal</t>
        </is>
      </c>
    </row>
    <row r="59">
      <c r="A59" s="6" t="n">
        <v>45476</v>
      </c>
      <c r="B59" t="inlineStr">
        <is>
          <t>Hard Currency</t>
        </is>
      </c>
      <c r="C59" s="9" t="n">
        <v>0.003476</v>
      </c>
      <c r="D59" s="12" t="n">
        <v>1002.23</v>
      </c>
      <c r="E59" s="15" t="n">
        <v>0.005665</v>
      </c>
      <c r="F59" s="18" t="n">
        <v>0.003476</v>
      </c>
      <c r="G59" t="inlineStr">
        <is>
          <t>Normal</t>
        </is>
      </c>
    </row>
    <row r="60">
      <c r="A60" s="6" t="n">
        <v>45476</v>
      </c>
      <c r="B60" t="inlineStr">
        <is>
          <t>Local Currency</t>
        </is>
      </c>
      <c r="C60" s="9" t="n">
        <v>0.005356</v>
      </c>
      <c r="D60" s="12" t="n">
        <v>1010.3</v>
      </c>
      <c r="E60" s="15" t="n">
        <v>0.004782</v>
      </c>
      <c r="F60" s="18" t="n">
        <v>0.005356</v>
      </c>
      <c r="G60" t="inlineStr">
        <is>
          <t>Normal</t>
        </is>
      </c>
    </row>
    <row r="61">
      <c r="A61" s="6" t="n">
        <v>45477</v>
      </c>
      <c r="B61" t="inlineStr">
        <is>
          <t>Hard Currency</t>
        </is>
      </c>
      <c r="C61" s="9" t="n">
        <v>0.002115</v>
      </c>
      <c r="D61" s="12" t="n">
        <v>1004.35</v>
      </c>
      <c r="E61" s="15" t="n">
        <v>0.005665</v>
      </c>
      <c r="F61" s="18" t="n">
        <v>0.002115</v>
      </c>
      <c r="G61" t="inlineStr">
        <is>
          <t>Normal</t>
        </is>
      </c>
    </row>
    <row r="62">
      <c r="A62" s="6" t="n">
        <v>45477</v>
      </c>
      <c r="B62" t="inlineStr">
        <is>
          <t>Local Currency</t>
        </is>
      </c>
      <c r="C62" s="9" t="n">
        <v>0.003269</v>
      </c>
      <c r="D62" s="12" t="n">
        <v>1013.6</v>
      </c>
      <c r="E62" s="15" t="n">
        <v>0.004782</v>
      </c>
      <c r="F62" s="18" t="n">
        <v>0.003269</v>
      </c>
      <c r="G62" t="inlineStr">
        <is>
          <t>Normal</t>
        </is>
      </c>
    </row>
    <row r="63">
      <c r="A63" s="6" t="n">
        <v>45478</v>
      </c>
      <c r="B63" t="inlineStr">
        <is>
          <t>Hard Currency</t>
        </is>
      </c>
      <c r="C63" s="9" t="n">
        <v>0.000218</v>
      </c>
      <c r="D63" s="12" t="n">
        <v>1004.57</v>
      </c>
      <c r="E63" s="15" t="n">
        <v>0.005665</v>
      </c>
      <c r="F63" s="18" t="n">
        <v>0.000218</v>
      </c>
      <c r="G63" t="inlineStr">
        <is>
          <t>Risk-On</t>
        </is>
      </c>
    </row>
    <row r="64">
      <c r="A64" s="6" t="n">
        <v>45478</v>
      </c>
      <c r="B64" t="inlineStr">
        <is>
          <t>Local Currency</t>
        </is>
      </c>
      <c r="C64" s="9" t="n">
        <v>-5.1e-05</v>
      </c>
      <c r="D64" s="12" t="n">
        <v>1013.55</v>
      </c>
      <c r="E64" s="15" t="n">
        <v>0.004782</v>
      </c>
      <c r="F64" s="18" t="n">
        <v>-5.1e-05</v>
      </c>
      <c r="G64" t="inlineStr">
        <is>
          <t>Risk-On</t>
        </is>
      </c>
    </row>
    <row r="65">
      <c r="A65" s="6" t="n">
        <v>45482</v>
      </c>
      <c r="B65" t="inlineStr">
        <is>
          <t>Hard Currency</t>
        </is>
      </c>
      <c r="C65" s="9" t="n">
        <v>0.000637</v>
      </c>
      <c r="D65" s="12" t="n">
        <v>1005.21</v>
      </c>
      <c r="E65" s="15" t="n">
        <v>0.005665</v>
      </c>
      <c r="F65" s="18" t="n">
        <v>0.000637</v>
      </c>
      <c r="G65" t="inlineStr">
        <is>
          <t>Risk-On</t>
        </is>
      </c>
    </row>
    <row r="66">
      <c r="A66" s="6" t="n">
        <v>45482</v>
      </c>
      <c r="B66" t="inlineStr">
        <is>
          <t>Local Currency</t>
        </is>
      </c>
      <c r="C66" s="9" t="n">
        <v>0.001008</v>
      </c>
      <c r="D66" s="12" t="n">
        <v>1014.57</v>
      </c>
      <c r="E66" s="15" t="n">
        <v>0.004782</v>
      </c>
      <c r="F66" s="18" t="n">
        <v>0.001008</v>
      </c>
      <c r="G66" t="inlineStr">
        <is>
          <t>Risk-On</t>
        </is>
      </c>
    </row>
    <row r="67">
      <c r="A67" s="6" t="n">
        <v>45483</v>
      </c>
      <c r="B67" t="inlineStr">
        <is>
          <t>Hard Currency</t>
        </is>
      </c>
      <c r="C67" s="9" t="n">
        <v>0.003996</v>
      </c>
      <c r="D67" s="12" t="n">
        <v>1009.23</v>
      </c>
      <c r="E67" s="15" t="n">
        <v>0.005665</v>
      </c>
      <c r="F67" s="18" t="n">
        <v>0.003996</v>
      </c>
      <c r="G67" t="inlineStr">
        <is>
          <t>Normal</t>
        </is>
      </c>
    </row>
    <row r="68">
      <c r="A68" s="6" t="n">
        <v>45483</v>
      </c>
      <c r="B68" t="inlineStr">
        <is>
          <t>Local Currency</t>
        </is>
      </c>
      <c r="C68" s="9" t="n">
        <v>0.005566</v>
      </c>
      <c r="D68" s="12" t="n">
        <v>1020.21</v>
      </c>
      <c r="E68" s="15" t="n">
        <v>0.004782</v>
      </c>
      <c r="F68" s="18" t="n">
        <v>0.005566</v>
      </c>
      <c r="G68" t="inlineStr">
        <is>
          <t>Normal</t>
        </is>
      </c>
    </row>
    <row r="69">
      <c r="A69" s="6" t="n">
        <v>45484</v>
      </c>
      <c r="B69" t="inlineStr">
        <is>
          <t>Hard Currency</t>
        </is>
      </c>
      <c r="C69" s="9" t="n">
        <v>0.005375</v>
      </c>
      <c r="D69" s="12" t="n">
        <v>1014.66</v>
      </c>
      <c r="E69" s="15" t="n">
        <v>0.005665</v>
      </c>
      <c r="F69" s="18" t="n">
        <v>0.005375</v>
      </c>
      <c r="G69" t="inlineStr">
        <is>
          <t>Rate Shock</t>
        </is>
      </c>
    </row>
    <row r="70">
      <c r="A70" s="6" t="n">
        <v>45484</v>
      </c>
      <c r="B70" t="inlineStr">
        <is>
          <t>Local Currency</t>
        </is>
      </c>
      <c r="C70" s="9" t="n">
        <v>0.006741</v>
      </c>
      <c r="D70" s="12" t="n">
        <v>1027.09</v>
      </c>
      <c r="E70" s="15" t="n">
        <v>0.004782</v>
      </c>
      <c r="F70" s="18" t="n">
        <v>0.006741</v>
      </c>
      <c r="G70" t="inlineStr">
        <is>
          <t>Rate Shock</t>
        </is>
      </c>
    </row>
    <row r="71">
      <c r="A71" s="6" t="n">
        <v>45485</v>
      </c>
      <c r="B71" t="inlineStr">
        <is>
          <t>Hard Currency</t>
        </is>
      </c>
      <c r="C71" s="9" t="n">
        <v>0.005935</v>
      </c>
      <c r="D71" s="12" t="n">
        <v>1020.68</v>
      </c>
      <c r="E71" s="15" t="n">
        <v>0.005665</v>
      </c>
      <c r="F71" s="18" t="n">
        <v>0.005935</v>
      </c>
      <c r="G71" t="inlineStr">
        <is>
          <t>Normal</t>
        </is>
      </c>
    </row>
    <row r="72">
      <c r="A72" s="6" t="n">
        <v>45485</v>
      </c>
      <c r="B72" t="inlineStr">
        <is>
          <t>Local Currency</t>
        </is>
      </c>
      <c r="C72" s="9" t="n">
        <v>0.001902</v>
      </c>
      <c r="D72" s="12" t="n">
        <v>1029.05</v>
      </c>
      <c r="E72" s="15" t="n">
        <v>0.004782</v>
      </c>
      <c r="F72" s="18" t="n">
        <v>0.001902</v>
      </c>
      <c r="G72" t="inlineStr">
        <is>
          <t>Normal</t>
        </is>
      </c>
    </row>
    <row r="73">
      <c r="A73" s="6" t="n">
        <v>45489</v>
      </c>
      <c r="B73" t="inlineStr">
        <is>
          <t>Hard Currency</t>
        </is>
      </c>
      <c r="C73" s="9" t="n">
        <v>0.002751</v>
      </c>
      <c r="D73" s="12" t="n">
        <v>1023.49</v>
      </c>
      <c r="E73" s="15" t="n">
        <v>0.005534</v>
      </c>
      <c r="F73" s="18" t="n">
        <v>0.002751</v>
      </c>
      <c r="G73" t="inlineStr">
        <is>
          <t>Normal</t>
        </is>
      </c>
    </row>
    <row r="74">
      <c r="A74" s="6" t="n">
        <v>45489</v>
      </c>
      <c r="B74" t="inlineStr">
        <is>
          <t>Local Currency</t>
        </is>
      </c>
      <c r="C74" s="9" t="n">
        <v>0.001509</v>
      </c>
      <c r="D74" s="12" t="n">
        <v>1030.6</v>
      </c>
      <c r="E74" s="15" t="n">
        <v>0.004782</v>
      </c>
      <c r="F74" s="18" t="n">
        <v>0.001509</v>
      </c>
      <c r="G74" t="inlineStr">
        <is>
          <t>Normal</t>
        </is>
      </c>
    </row>
    <row r="75">
      <c r="A75" s="6" t="n">
        <v>45490</v>
      </c>
      <c r="B75" t="inlineStr">
        <is>
          <t>Hard Currency</t>
        </is>
      </c>
      <c r="C75" s="9" t="n">
        <v>-0.001599</v>
      </c>
      <c r="D75" s="12" t="n">
        <v>1021.85</v>
      </c>
      <c r="E75" s="15" t="n">
        <v>0.005534</v>
      </c>
      <c r="F75" s="18" t="n">
        <v>-0.001599</v>
      </c>
      <c r="G75" t="inlineStr">
        <is>
          <t>Normal</t>
        </is>
      </c>
    </row>
    <row r="76">
      <c r="A76" s="6" t="n">
        <v>45490</v>
      </c>
      <c r="B76" t="inlineStr">
        <is>
          <t>Local Currency</t>
        </is>
      </c>
      <c r="C76" s="9" t="n">
        <v>-0.001616</v>
      </c>
      <c r="D76" s="12" t="n">
        <v>1028.93</v>
      </c>
      <c r="E76" s="15" t="n">
        <v>0.00468</v>
      </c>
      <c r="F76" s="18" t="n">
        <v>-0.001616</v>
      </c>
      <c r="G76" t="inlineStr">
        <is>
          <t>Normal</t>
        </is>
      </c>
    </row>
    <row r="77">
      <c r="A77" s="6" t="n">
        <v>45491</v>
      </c>
      <c r="B77" t="inlineStr">
        <is>
          <t>Hard Currency</t>
        </is>
      </c>
      <c r="C77" s="9" t="n">
        <v>-0.005017</v>
      </c>
      <c r="D77" s="12" t="n">
        <v>1016.72</v>
      </c>
      <c r="E77" s="15" t="n">
        <v>0.005534</v>
      </c>
      <c r="F77" s="18" t="n">
        <v>-0.005017</v>
      </c>
      <c r="G77" t="inlineStr">
        <is>
          <t>Normal</t>
        </is>
      </c>
    </row>
    <row r="78">
      <c r="A78" s="6" t="n">
        <v>45491</v>
      </c>
      <c r="B78" t="inlineStr">
        <is>
          <t>Local Currency</t>
        </is>
      </c>
      <c r="C78" s="9" t="n">
        <v>-0.003914</v>
      </c>
      <c r="D78" s="12" t="n">
        <v>1024.9</v>
      </c>
      <c r="E78" s="15" t="n">
        <v>0.00468</v>
      </c>
      <c r="F78" s="18" t="n">
        <v>-0.003914</v>
      </c>
      <c r="G78" t="inlineStr">
        <is>
          <t>Normal</t>
        </is>
      </c>
    </row>
    <row r="79">
      <c r="A79" s="6" t="n">
        <v>45492</v>
      </c>
      <c r="B79" t="inlineStr">
        <is>
          <t>Hard Currency</t>
        </is>
      </c>
      <c r="C79" s="9" t="n">
        <v>-0.001127</v>
      </c>
      <c r="D79" s="12" t="n">
        <v>1015.58</v>
      </c>
      <c r="E79" s="15" t="n">
        <v>0.005314</v>
      </c>
      <c r="F79" s="18" t="n">
        <v>-0.001127</v>
      </c>
      <c r="G79" t="inlineStr">
        <is>
          <t>Normal</t>
        </is>
      </c>
    </row>
    <row r="80">
      <c r="A80" s="6" t="n">
        <v>45492</v>
      </c>
      <c r="B80" t="inlineStr">
        <is>
          <t>Local Currency</t>
        </is>
      </c>
      <c r="C80" s="9" t="n">
        <v>-0.00198</v>
      </c>
      <c r="D80" s="12" t="n">
        <v>1022.88</v>
      </c>
      <c r="E80" s="15" t="n">
        <v>0.00468</v>
      </c>
      <c r="F80" s="18" t="n">
        <v>-0.00198</v>
      </c>
      <c r="G80" t="inlineStr">
        <is>
          <t>Normal</t>
        </is>
      </c>
    </row>
    <row r="81">
      <c r="A81" s="6" t="n">
        <v>45495</v>
      </c>
      <c r="B81" t="inlineStr">
        <is>
          <t>Hard Currency</t>
        </is>
      </c>
      <c r="C81" s="9" t="n">
        <v>0.003818</v>
      </c>
      <c r="D81" s="12" t="n">
        <v>1019.45</v>
      </c>
      <c r="E81" s="15" t="n">
        <v>0.005314</v>
      </c>
      <c r="F81" s="18" t="n">
        <v>0.003818</v>
      </c>
      <c r="G81" t="inlineStr">
        <is>
          <t>Rate Shock</t>
        </is>
      </c>
    </row>
    <row r="82">
      <c r="A82" s="6" t="n">
        <v>45495</v>
      </c>
      <c r="B82" t="inlineStr">
        <is>
          <t>Local Currency</t>
        </is>
      </c>
      <c r="C82" s="9" t="n">
        <v>0.005938</v>
      </c>
      <c r="D82" s="12" t="n">
        <v>1028.95</v>
      </c>
      <c r="E82" s="15" t="n">
        <v>0.00468</v>
      </c>
      <c r="F82" s="18" t="n">
        <v>0.005938</v>
      </c>
      <c r="G82" t="inlineStr">
        <is>
          <t>Rate Shock</t>
        </is>
      </c>
    </row>
    <row r="83">
      <c r="A83" s="6" t="n">
        <v>45496</v>
      </c>
      <c r="B83" t="inlineStr">
        <is>
          <t>Hard Currency</t>
        </is>
      </c>
      <c r="C83" s="9" t="n">
        <v>0.002187</v>
      </c>
      <c r="D83" s="12" t="n">
        <v>1021.68</v>
      </c>
      <c r="E83" s="15" t="n">
        <v>0.005314</v>
      </c>
      <c r="F83" s="18" t="n">
        <v>0.002187</v>
      </c>
      <c r="G83" t="inlineStr">
        <is>
          <t>Normal</t>
        </is>
      </c>
    </row>
    <row r="84">
      <c r="A84" s="6" t="n">
        <v>45496</v>
      </c>
      <c r="B84" t="inlineStr">
        <is>
          <t>Local Currency</t>
        </is>
      </c>
      <c r="C84" s="9" t="n">
        <v>-0.000139</v>
      </c>
      <c r="D84" s="12" t="n">
        <v>1028.81</v>
      </c>
      <c r="E84" s="15" t="n">
        <v>0.004615</v>
      </c>
      <c r="F84" s="18" t="n">
        <v>-0.000139</v>
      </c>
      <c r="G84" t="inlineStr">
        <is>
          <t>Normal</t>
        </is>
      </c>
    </row>
    <row r="85">
      <c r="A85" s="6" t="n">
        <v>45497</v>
      </c>
      <c r="B85" t="inlineStr">
        <is>
          <t>Hard Currency</t>
        </is>
      </c>
      <c r="C85" s="9" t="n">
        <v>-0.000851</v>
      </c>
      <c r="D85" s="12" t="n">
        <v>1020.81</v>
      </c>
      <c r="E85" s="15" t="n">
        <v>0.005314</v>
      </c>
      <c r="F85" s="18" t="n">
        <v>-0.000851</v>
      </c>
      <c r="G85" t="inlineStr">
        <is>
          <t>Normal</t>
        </is>
      </c>
    </row>
    <row r="86">
      <c r="A86" s="6" t="n">
        <v>45497</v>
      </c>
      <c r="B86" t="inlineStr">
        <is>
          <t>Local Currency</t>
        </is>
      </c>
      <c r="C86" s="9" t="n">
        <v>2e-06</v>
      </c>
      <c r="D86" s="12" t="n">
        <v>1028.81</v>
      </c>
      <c r="E86" s="15" t="n">
        <v>0.004615</v>
      </c>
      <c r="F86" s="18" t="n">
        <v>2e-06</v>
      </c>
      <c r="G86" t="inlineStr">
        <is>
          <t>Normal</t>
        </is>
      </c>
    </row>
    <row r="87">
      <c r="A87" s="6" t="n">
        <v>45498</v>
      </c>
      <c r="B87" t="inlineStr">
        <is>
          <t>Hard Currency</t>
        </is>
      </c>
      <c r="C87" s="9" t="n">
        <v>0.000244</v>
      </c>
      <c r="D87" s="12" t="n">
        <v>1021.06</v>
      </c>
      <c r="E87" s="15" t="n">
        <v>0.005314</v>
      </c>
      <c r="F87" s="18" t="n">
        <v>0.000244</v>
      </c>
      <c r="G87" t="inlineStr">
        <is>
          <t>Normal</t>
        </is>
      </c>
    </row>
    <row r="88">
      <c r="A88" s="6" t="n">
        <v>45498</v>
      </c>
      <c r="B88" t="inlineStr">
        <is>
          <t>Local Currency</t>
        </is>
      </c>
      <c r="C88" s="9" t="n">
        <v>-0.001182</v>
      </c>
      <c r="D88" s="12" t="n">
        <v>1027.59</v>
      </c>
      <c r="E88" s="15" t="n">
        <v>0.004615</v>
      </c>
      <c r="F88" s="18" t="n">
        <v>-0.001182</v>
      </c>
      <c r="G88" t="inlineStr">
        <is>
          <t>Normal</t>
        </is>
      </c>
    </row>
    <row r="89">
      <c r="A89" s="6" t="n">
        <v>45499</v>
      </c>
      <c r="B89" t="inlineStr">
        <is>
          <t>Hard Currency</t>
        </is>
      </c>
      <c r="C89" s="9" t="n">
        <v>0.000916</v>
      </c>
      <c r="D89" s="12" t="n">
        <v>1022</v>
      </c>
      <c r="E89" s="15" t="n">
        <v>0.005314</v>
      </c>
      <c r="F89" s="18" t="n">
        <v>0.000916</v>
      </c>
      <c r="G89" t="inlineStr">
        <is>
          <t>Normal</t>
        </is>
      </c>
    </row>
    <row r="90">
      <c r="A90" s="6" t="n">
        <v>45499</v>
      </c>
      <c r="B90" t="inlineStr">
        <is>
          <t>Local Currency</t>
        </is>
      </c>
      <c r="C90" s="9" t="n">
        <v>0.002692</v>
      </c>
      <c r="D90" s="12" t="n">
        <v>1030.36</v>
      </c>
      <c r="E90" s="15" t="n">
        <v>0.004615</v>
      </c>
      <c r="F90" s="18" t="n">
        <v>0.002692</v>
      </c>
      <c r="G90" t="inlineStr">
        <is>
          <t>Normal</t>
        </is>
      </c>
    </row>
    <row r="91">
      <c r="A91" s="6" t="n">
        <v>45503</v>
      </c>
      <c r="B91" t="inlineStr">
        <is>
          <t>Hard Currency</t>
        </is>
      </c>
      <c r="C91" s="9" t="n">
        <v>0.004282</v>
      </c>
      <c r="D91" s="12" t="n">
        <v>1026.37</v>
      </c>
      <c r="E91" s="15" t="n">
        <v>0.005314</v>
      </c>
      <c r="F91" s="18" t="n">
        <v>0.004282</v>
      </c>
      <c r="G91" t="inlineStr">
        <is>
          <t>Normal</t>
        </is>
      </c>
    </row>
    <row r="92">
      <c r="A92" s="6" t="n">
        <v>45503</v>
      </c>
      <c r="B92" t="inlineStr">
        <is>
          <t>Local Currency</t>
        </is>
      </c>
      <c r="C92" s="9" t="n">
        <v>0.001792</v>
      </c>
      <c r="D92" s="12" t="n">
        <v>1032.2</v>
      </c>
      <c r="E92" s="15" t="n">
        <v>0.004505</v>
      </c>
      <c r="F92" s="18" t="n">
        <v>0.001792</v>
      </c>
      <c r="G92" t="inlineStr">
        <is>
          <t>Normal</t>
        </is>
      </c>
    </row>
    <row r="93">
      <c r="A93" s="6" t="n">
        <v>45504</v>
      </c>
      <c r="B93" t="inlineStr">
        <is>
          <t>Hard Currency</t>
        </is>
      </c>
      <c r="C93" s="9" t="n">
        <v>0.003904</v>
      </c>
      <c r="D93" s="12" t="n">
        <v>1030.38</v>
      </c>
      <c r="E93" s="15" t="n">
        <v>0.005314</v>
      </c>
      <c r="F93" s="18" t="n">
        <v>0.003904</v>
      </c>
      <c r="G93" t="inlineStr">
        <is>
          <t>Normal</t>
        </is>
      </c>
    </row>
    <row r="94">
      <c r="A94" s="6" t="n">
        <v>45504</v>
      </c>
      <c r="B94" t="inlineStr">
        <is>
          <t>Local Currency</t>
        </is>
      </c>
      <c r="C94" s="9" t="n">
        <v>0.003855</v>
      </c>
      <c r="D94" s="12" t="n">
        <v>1036.18</v>
      </c>
      <c r="E94" s="15" t="n">
        <v>0.004505</v>
      </c>
      <c r="F94" s="18" t="n">
        <v>0.003855</v>
      </c>
      <c r="G94" t="inlineStr">
        <is>
          <t>Normal</t>
        </is>
      </c>
    </row>
    <row r="95">
      <c r="A95" s="6" t="n">
        <v>45505</v>
      </c>
      <c r="B95" t="inlineStr">
        <is>
          <t>Hard Currency</t>
        </is>
      </c>
      <c r="C95" s="9" t="n">
        <v>0.003277</v>
      </c>
      <c r="D95" s="12" t="n">
        <v>1033.76</v>
      </c>
      <c r="E95" s="15" t="n">
        <v>0.005314</v>
      </c>
      <c r="F95" s="18" t="n">
        <v>0.003277</v>
      </c>
      <c r="G95" t="inlineStr">
        <is>
          <t>Normal</t>
        </is>
      </c>
    </row>
    <row r="96">
      <c r="A96" s="6" t="n">
        <v>45505</v>
      </c>
      <c r="B96" t="inlineStr">
        <is>
          <t>Local Currency</t>
        </is>
      </c>
      <c r="C96" s="9" t="n">
        <v>0.000663</v>
      </c>
      <c r="D96" s="12" t="n">
        <v>1036.87</v>
      </c>
      <c r="E96" s="15" t="n">
        <v>0.004505</v>
      </c>
      <c r="F96" s="18" t="n">
        <v>0.000663</v>
      </c>
      <c r="G96" t="inlineStr">
        <is>
          <t>Normal</t>
        </is>
      </c>
    </row>
    <row r="97">
      <c r="A97" s="6" t="n">
        <v>45506</v>
      </c>
      <c r="B97" t="inlineStr">
        <is>
          <t>Hard Currency</t>
        </is>
      </c>
      <c r="C97" s="9" t="n">
        <v>0.008437999999999999</v>
      </c>
      <c r="D97" s="12" t="n">
        <v>1042.48</v>
      </c>
      <c r="E97" s="15" t="n">
        <v>0.005314</v>
      </c>
      <c r="F97" s="18" t="n">
        <v>0.008437999999999999</v>
      </c>
      <c r="G97" t="inlineStr">
        <is>
          <t>Normal</t>
        </is>
      </c>
    </row>
    <row r="98">
      <c r="A98" s="6" t="n">
        <v>45506</v>
      </c>
      <c r="B98" t="inlineStr">
        <is>
          <t>Local Currency</t>
        </is>
      </c>
      <c r="C98" s="9" t="n">
        <v>0.008267999999999999</v>
      </c>
      <c r="D98" s="12" t="n">
        <v>1045.44</v>
      </c>
      <c r="E98" s="15" t="n">
        <v>0.004505</v>
      </c>
      <c r="F98" s="18" t="n">
        <v>0.008267999999999999</v>
      </c>
      <c r="G98" t="inlineStr">
        <is>
          <t>Normal</t>
        </is>
      </c>
    </row>
    <row r="99">
      <c r="A99" s="6" t="n">
        <v>45510</v>
      </c>
      <c r="B99" t="inlineStr">
        <is>
          <t>Hard Currency</t>
        </is>
      </c>
      <c r="C99" s="9" t="n">
        <v>-0.004068</v>
      </c>
      <c r="D99" s="12" t="n">
        <v>1038.24</v>
      </c>
      <c r="E99" s="15" t="n">
        <v>0.005314</v>
      </c>
      <c r="F99" s="18" t="n">
        <v>-0.004068</v>
      </c>
      <c r="G99" t="inlineStr">
        <is>
          <t>Normal</t>
        </is>
      </c>
    </row>
    <row r="100">
      <c r="A100" s="6" t="n">
        <v>45510</v>
      </c>
      <c r="B100" t="inlineStr">
        <is>
          <t>Local Currency</t>
        </is>
      </c>
      <c r="C100" s="9" t="n">
        <v>-0.002605</v>
      </c>
      <c r="D100" s="12" t="n">
        <v>1042.72</v>
      </c>
      <c r="E100" s="15" t="n">
        <v>0.004505</v>
      </c>
      <c r="F100" s="18" t="n">
        <v>-0.002605</v>
      </c>
      <c r="G100" t="inlineStr">
        <is>
          <t>Normal</t>
        </is>
      </c>
    </row>
    <row r="101">
      <c r="A101" s="6" t="n">
        <v>45511</v>
      </c>
      <c r="B101" t="inlineStr">
        <is>
          <t>Local Currency</t>
        </is>
      </c>
      <c r="C101" s="9" t="n">
        <v>-0.000325</v>
      </c>
      <c r="D101" s="12" t="n">
        <v>1042.38</v>
      </c>
      <c r="E101" s="15" t="n">
        <v>0.004505</v>
      </c>
      <c r="F101" s="18" t="n">
        <v>-0.000325</v>
      </c>
      <c r="G101" t="inlineStr">
        <is>
          <t>Normal</t>
        </is>
      </c>
    </row>
    <row r="102">
      <c r="A102" s="6" t="n">
        <v>45512</v>
      </c>
      <c r="B102" t="inlineStr">
        <is>
          <t>Hard Currency</t>
        </is>
      </c>
      <c r="C102" s="9" t="n">
        <v>0.0006669999999999999</v>
      </c>
      <c r="D102" s="12" t="n">
        <v>1038.93</v>
      </c>
      <c r="E102" s="15" t="n">
        <v>0.005314</v>
      </c>
      <c r="F102" s="18" t="n">
        <v>0.0006669999999999999</v>
      </c>
      <c r="G102" t="inlineStr">
        <is>
          <t>Normal</t>
        </is>
      </c>
    </row>
    <row r="103">
      <c r="A103" s="6" t="n">
        <v>45512</v>
      </c>
      <c r="B103" t="inlineStr">
        <is>
          <t>Local Currency</t>
        </is>
      </c>
      <c r="C103" s="9" t="n">
        <v>-0.001132</v>
      </c>
      <c r="D103" s="12" t="n">
        <v>1041.2</v>
      </c>
      <c r="E103" s="15" t="n">
        <v>0.004505</v>
      </c>
      <c r="F103" s="18" t="n">
        <v>-0.001132</v>
      </c>
      <c r="G103" t="inlineStr">
        <is>
          <t>Normal</t>
        </is>
      </c>
    </row>
    <row r="104">
      <c r="A104" s="6" t="n">
        <v>45516</v>
      </c>
      <c r="B104" t="inlineStr">
        <is>
          <t>Local Currency</t>
        </is>
      </c>
      <c r="C104" s="9" t="n">
        <v>-0.00024</v>
      </c>
      <c r="D104" s="12" t="n">
        <v>1040.95</v>
      </c>
      <c r="E104" s="15" t="n">
        <v>0.004505</v>
      </c>
      <c r="F104" s="18" t="n">
        <v>-0.00024</v>
      </c>
      <c r="G104" t="inlineStr">
        <is>
          <t>Normal</t>
        </is>
      </c>
    </row>
    <row r="105">
      <c r="A105" s="6" t="n">
        <v>45517</v>
      </c>
      <c r="B105" t="inlineStr">
        <is>
          <t>Hard Currency</t>
        </is>
      </c>
      <c r="C105" s="9" t="n">
        <v>0.004357</v>
      </c>
      <c r="D105" s="12" t="n">
        <v>1043.46</v>
      </c>
      <c r="E105" s="15" t="n">
        <v>0.005314</v>
      </c>
      <c r="F105" s="18" t="n">
        <v>0.004357</v>
      </c>
      <c r="G105" t="inlineStr">
        <is>
          <t>Normal</t>
        </is>
      </c>
    </row>
    <row r="106">
      <c r="A106" s="6" t="n">
        <v>45517</v>
      </c>
      <c r="B106" t="inlineStr">
        <is>
          <t>Local Currency</t>
        </is>
      </c>
      <c r="C106" s="9" t="n">
        <v>0.003907</v>
      </c>
      <c r="D106" s="12" t="n">
        <v>1045.02</v>
      </c>
      <c r="E106" s="15" t="n">
        <v>0.004505</v>
      </c>
      <c r="F106" s="18" t="n">
        <v>0.003907</v>
      </c>
      <c r="G106" t="inlineStr">
        <is>
          <t>Normal</t>
        </is>
      </c>
    </row>
    <row r="107">
      <c r="A107" s="6" t="n">
        <v>45518</v>
      </c>
      <c r="B107" t="inlineStr">
        <is>
          <t>Hard Currency</t>
        </is>
      </c>
      <c r="C107" s="9" t="n">
        <v>0.002951</v>
      </c>
      <c r="D107" s="12" t="n">
        <v>1046.54</v>
      </c>
      <c r="E107" s="15" t="n">
        <v>0.005174</v>
      </c>
      <c r="F107" s="18" t="n">
        <v>0.002951</v>
      </c>
      <c r="G107" t="inlineStr">
        <is>
          <t>Normal</t>
        </is>
      </c>
    </row>
    <row r="108">
      <c r="A108" s="6" t="n">
        <v>45518</v>
      </c>
      <c r="B108" t="inlineStr">
        <is>
          <t>Local Currency</t>
        </is>
      </c>
      <c r="C108" s="9" t="n">
        <v>0.001034</v>
      </c>
      <c r="D108" s="12" t="n">
        <v>1046.1</v>
      </c>
      <c r="E108" s="15" t="n">
        <v>0.004505</v>
      </c>
      <c r="F108" s="18" t="n">
        <v>0.001034</v>
      </c>
      <c r="G108" t="inlineStr">
        <is>
          <t>Normal</t>
        </is>
      </c>
    </row>
    <row r="109">
      <c r="A109" s="6" t="n">
        <v>45520</v>
      </c>
      <c r="B109" t="inlineStr">
        <is>
          <t>Hard Currency</t>
        </is>
      </c>
      <c r="C109" s="9" t="n">
        <v>-0.003147</v>
      </c>
      <c r="D109" s="12" t="n">
        <v>1043.24</v>
      </c>
      <c r="E109" s="15" t="n">
        <v>0.005174</v>
      </c>
      <c r="F109" s="18" t="n">
        <v>-0.003147</v>
      </c>
      <c r="G109" t="inlineStr">
        <is>
          <t>Normal</t>
        </is>
      </c>
    </row>
    <row r="110">
      <c r="A110" s="6" t="n">
        <v>45520</v>
      </c>
      <c r="B110" t="inlineStr">
        <is>
          <t>Local Currency</t>
        </is>
      </c>
      <c r="C110" s="9" t="n">
        <v>-0.002006</v>
      </c>
      <c r="D110" s="12" t="n">
        <v>1044</v>
      </c>
      <c r="E110" s="15" t="n">
        <v>0.004505</v>
      </c>
      <c r="F110" s="18" t="n">
        <v>-0.002006</v>
      </c>
      <c r="G110" t="inlineStr">
        <is>
          <t>Normal</t>
        </is>
      </c>
    </row>
    <row r="111">
      <c r="A111" s="6" t="n">
        <v>45525</v>
      </c>
      <c r="B111" t="inlineStr">
        <is>
          <t>Hard Currency</t>
        </is>
      </c>
      <c r="C111" s="9" t="n">
        <v>-0.000333</v>
      </c>
      <c r="D111" s="12" t="n">
        <v>1042.9</v>
      </c>
      <c r="E111" s="15" t="n">
        <v>0.005145</v>
      </c>
      <c r="F111" s="18" t="n">
        <v>-0.000333</v>
      </c>
      <c r="G111" t="inlineStr">
        <is>
          <t>Normal</t>
        </is>
      </c>
    </row>
    <row r="112">
      <c r="A112" s="6" t="n">
        <v>45525</v>
      </c>
      <c r="B112" t="inlineStr">
        <is>
          <t>Local Currency</t>
        </is>
      </c>
      <c r="C112" s="9" t="n">
        <v>0.001857</v>
      </c>
      <c r="D112" s="12" t="n">
        <v>1045.94</v>
      </c>
      <c r="E112" s="15" t="n">
        <v>0.004505</v>
      </c>
      <c r="F112" s="18" t="n">
        <v>0.001857</v>
      </c>
      <c r="G112" t="inlineStr">
        <is>
          <t>Normal</t>
        </is>
      </c>
    </row>
    <row r="113">
      <c r="A113" s="6" t="n">
        <v>45526</v>
      </c>
      <c r="B113" t="inlineStr">
        <is>
          <t>Hard Currency</t>
        </is>
      </c>
      <c r="C113" s="9" t="n">
        <v>-0.003512</v>
      </c>
      <c r="D113" s="12" t="n">
        <v>1039.24</v>
      </c>
      <c r="E113" s="15" t="n">
        <v>0.005085</v>
      </c>
      <c r="F113" s="18" t="n">
        <v>-0.003512</v>
      </c>
      <c r="G113" t="inlineStr">
        <is>
          <t>Normal</t>
        </is>
      </c>
    </row>
    <row r="114">
      <c r="A114" s="6" t="n">
        <v>45526</v>
      </c>
      <c r="B114" t="inlineStr">
        <is>
          <t>Local Currency</t>
        </is>
      </c>
      <c r="C114" s="9" t="n">
        <v>-0.004522</v>
      </c>
      <c r="D114" s="12" t="n">
        <v>1041.21</v>
      </c>
      <c r="E114" s="15" t="n">
        <v>0.004559</v>
      </c>
      <c r="F114" s="18" t="n">
        <v>-0.004522</v>
      </c>
      <c r="G114" t="inlineStr">
        <is>
          <t>Normal</t>
        </is>
      </c>
    </row>
    <row r="115">
      <c r="A115" s="6" t="n">
        <v>45527</v>
      </c>
      <c r="B115" t="inlineStr">
        <is>
          <t>Hard Currency</t>
        </is>
      </c>
      <c r="C115" s="9" t="n">
        <v>0.00291</v>
      </c>
      <c r="D115" s="12" t="n">
        <v>1042.26</v>
      </c>
      <c r="E115" s="15" t="n">
        <v>0.005085</v>
      </c>
      <c r="F115" s="18" t="n">
        <v>0.00291</v>
      </c>
      <c r="G115" t="inlineStr">
        <is>
          <t>Normal</t>
        </is>
      </c>
    </row>
    <row r="116">
      <c r="A116" s="6" t="n">
        <v>45527</v>
      </c>
      <c r="B116" t="inlineStr">
        <is>
          <t>Local Currency</t>
        </is>
      </c>
      <c r="C116" s="9" t="n">
        <v>0.004256</v>
      </c>
      <c r="D116" s="12" t="n">
        <v>1045.64</v>
      </c>
      <c r="E116" s="15" t="n">
        <v>0.004468</v>
      </c>
      <c r="F116" s="18" t="n">
        <v>0.004256</v>
      </c>
      <c r="G116" t="inlineStr">
        <is>
          <t>Normal</t>
        </is>
      </c>
    </row>
    <row r="117">
      <c r="A117" s="6" t="n">
        <v>45530</v>
      </c>
      <c r="B117" t="inlineStr">
        <is>
          <t>Local Currency</t>
        </is>
      </c>
      <c r="C117" s="9" t="n">
        <v>0.000715</v>
      </c>
      <c r="D117" s="12" t="n">
        <v>1046.39</v>
      </c>
      <c r="E117" s="15" t="n">
        <v>0.004468</v>
      </c>
      <c r="F117" s="18" t="n">
        <v>0.000715</v>
      </c>
      <c r="G117" t="inlineStr">
        <is>
          <t>Normal</t>
        </is>
      </c>
    </row>
    <row r="118">
      <c r="A118" s="6" t="n">
        <v>45531</v>
      </c>
      <c r="B118" t="inlineStr">
        <is>
          <t>Hard Currency</t>
        </is>
      </c>
      <c r="C118" s="9" t="n">
        <v>-0.001697</v>
      </c>
      <c r="D118" s="12" t="n">
        <v>1040.49</v>
      </c>
      <c r="E118" s="15" t="n">
        <v>0.005085</v>
      </c>
      <c r="F118" s="18" t="n">
        <v>-0.001697</v>
      </c>
      <c r="G118" t="inlineStr">
        <is>
          <t>Normal</t>
        </is>
      </c>
    </row>
    <row r="119">
      <c r="A119" s="6" t="n">
        <v>45531</v>
      </c>
      <c r="B119" t="inlineStr">
        <is>
          <t>Local Currency</t>
        </is>
      </c>
      <c r="C119" s="9" t="n">
        <v>-0.00435</v>
      </c>
      <c r="D119" s="12" t="n">
        <v>1041.83</v>
      </c>
      <c r="E119" s="15" t="n">
        <v>0.004468</v>
      </c>
      <c r="F119" s="18" t="n">
        <v>-0.00435</v>
      </c>
      <c r="G119" t="inlineStr">
        <is>
          <t>Normal</t>
        </is>
      </c>
    </row>
    <row r="120">
      <c r="A120" s="6" t="n">
        <v>45532</v>
      </c>
      <c r="B120" t="inlineStr">
        <is>
          <t>Hard Currency</t>
        </is>
      </c>
      <c r="C120" s="9" t="n">
        <v>-0.002213</v>
      </c>
      <c r="D120" s="12" t="n">
        <v>1038.19</v>
      </c>
      <c r="E120" s="15" t="n">
        <v>0.005085</v>
      </c>
      <c r="F120" s="18" t="n">
        <v>-0.002213</v>
      </c>
      <c r="G120" t="inlineStr">
        <is>
          <t>Normal</t>
        </is>
      </c>
    </row>
    <row r="121">
      <c r="A121" s="6" t="n">
        <v>45532</v>
      </c>
      <c r="B121" t="inlineStr">
        <is>
          <t>Local Currency</t>
        </is>
      </c>
      <c r="C121" s="9" t="n">
        <v>-0.002082</v>
      </c>
      <c r="D121" s="12" t="n">
        <v>1039.67</v>
      </c>
      <c r="E121" s="15" t="n">
        <v>0.004468</v>
      </c>
      <c r="F121" s="18" t="n">
        <v>-0.002082</v>
      </c>
      <c r="G121" t="inlineStr">
        <is>
          <t>Normal</t>
        </is>
      </c>
    </row>
    <row r="122">
      <c r="A122" s="6" t="n">
        <v>45533</v>
      </c>
      <c r="B122" t="inlineStr">
        <is>
          <t>Hard Currency</t>
        </is>
      </c>
      <c r="C122" s="9" t="n">
        <v>-0.002401</v>
      </c>
      <c r="D122" s="12" t="n">
        <v>1035.7</v>
      </c>
      <c r="E122" s="15" t="n">
        <v>0.005085</v>
      </c>
      <c r="F122" s="18" t="n">
        <v>-0.002401</v>
      </c>
      <c r="G122" t="inlineStr">
        <is>
          <t>Normal</t>
        </is>
      </c>
    </row>
    <row r="123">
      <c r="A123" s="6" t="n">
        <v>45533</v>
      </c>
      <c r="B123" t="inlineStr">
        <is>
          <t>Local Currency</t>
        </is>
      </c>
      <c r="C123" s="9" t="n">
        <v>-0.003696</v>
      </c>
      <c r="D123" s="12" t="n">
        <v>1035.82</v>
      </c>
      <c r="E123" s="15" t="n">
        <v>0.004468</v>
      </c>
      <c r="F123" s="18" t="n">
        <v>-0.003696</v>
      </c>
      <c r="G123" t="inlineStr">
        <is>
          <t>Normal</t>
        </is>
      </c>
    </row>
    <row r="124">
      <c r="A124" s="6" t="n">
        <v>45534</v>
      </c>
      <c r="B124" t="inlineStr">
        <is>
          <t>Hard Currency</t>
        </is>
      </c>
      <c r="C124" s="9" t="n">
        <v>-0.00145</v>
      </c>
      <c r="D124" s="12" t="n">
        <v>1034.19</v>
      </c>
      <c r="E124" s="15" t="n">
        <v>0.005085</v>
      </c>
      <c r="F124" s="18" t="n">
        <v>-0.00145</v>
      </c>
      <c r="G124" t="inlineStr">
        <is>
          <t>Normal</t>
        </is>
      </c>
    </row>
    <row r="125">
      <c r="A125" s="6" t="n">
        <v>45534</v>
      </c>
      <c r="B125" t="inlineStr">
        <is>
          <t>Local Currency</t>
        </is>
      </c>
      <c r="C125" s="9" t="n">
        <v>-0.002906</v>
      </c>
      <c r="D125" s="12" t="n">
        <v>1032.81</v>
      </c>
      <c r="E125" s="15" t="n">
        <v>0.004468</v>
      </c>
      <c r="F125" s="18" t="n">
        <v>-0.002906</v>
      </c>
      <c r="G125" t="inlineStr">
        <is>
          <t>Normal</t>
        </is>
      </c>
    </row>
    <row r="126">
      <c r="A126" s="6" t="n">
        <v>45537</v>
      </c>
      <c r="B126" t="inlineStr">
        <is>
          <t>Local Currency</t>
        </is>
      </c>
      <c r="C126" s="9" t="n">
        <v>-8.7e-05</v>
      </c>
      <c r="D126" s="12" t="n">
        <v>1032.72</v>
      </c>
      <c r="E126" s="15" t="n">
        <v>0.004468</v>
      </c>
      <c r="F126" s="18" t="n">
        <v>-8.7e-05</v>
      </c>
      <c r="G126" t="inlineStr">
        <is>
          <t>Normal</t>
        </is>
      </c>
    </row>
    <row r="127">
      <c r="A127" s="6" t="n">
        <v>45538</v>
      </c>
      <c r="B127" t="inlineStr">
        <is>
          <t>Hard Currency</t>
        </is>
      </c>
      <c r="C127" s="9" t="n">
        <v>-0.0015</v>
      </c>
      <c r="D127" s="12" t="n">
        <v>1032.64</v>
      </c>
      <c r="E127" s="15" t="n">
        <v>0.005085</v>
      </c>
      <c r="F127" s="18" t="n">
        <v>-0.0015</v>
      </c>
      <c r="G127" t="inlineStr">
        <is>
          <t>Normal</t>
        </is>
      </c>
    </row>
    <row r="128">
      <c r="A128" s="6" t="n">
        <v>45538</v>
      </c>
      <c r="B128" t="inlineStr">
        <is>
          <t>Local Currency</t>
        </is>
      </c>
      <c r="C128" s="9" t="n">
        <v>0.000202</v>
      </c>
      <c r="D128" s="12" t="n">
        <v>1032.93</v>
      </c>
      <c r="E128" s="15" t="n">
        <v>0.004383</v>
      </c>
      <c r="F128" s="18" t="n">
        <v>0.000202</v>
      </c>
      <c r="G128" t="inlineStr">
        <is>
          <t>Normal</t>
        </is>
      </c>
    </row>
    <row r="129">
      <c r="A129" s="6" t="n">
        <v>45539</v>
      </c>
      <c r="B129" t="inlineStr">
        <is>
          <t>Hard Currency</t>
        </is>
      </c>
      <c r="C129" s="9" t="n">
        <v>0.003879</v>
      </c>
      <c r="D129" s="12" t="n">
        <v>1036.65</v>
      </c>
      <c r="E129" s="15" t="n">
        <v>0.005085</v>
      </c>
      <c r="F129" s="18" t="n">
        <v>0.003879</v>
      </c>
      <c r="G129" t="inlineStr">
        <is>
          <t>Normal</t>
        </is>
      </c>
    </row>
    <row r="130">
      <c r="A130" s="6" t="n">
        <v>45539</v>
      </c>
      <c r="B130" t="inlineStr">
        <is>
          <t>Local Currency</t>
        </is>
      </c>
      <c r="C130" s="9" t="n">
        <v>0.005065</v>
      </c>
      <c r="D130" s="12" t="n">
        <v>1038.16</v>
      </c>
      <c r="E130" s="15" t="n">
        <v>0.004383</v>
      </c>
      <c r="F130" s="18" t="n">
        <v>0.005065</v>
      </c>
      <c r="G130" t="inlineStr">
        <is>
          <t>Normal</t>
        </is>
      </c>
    </row>
    <row r="131">
      <c r="A131" s="6" t="n">
        <v>45540</v>
      </c>
      <c r="B131" t="inlineStr">
        <is>
          <t>Hard Currency</t>
        </is>
      </c>
      <c r="C131" s="9" t="n">
        <v>0.002603</v>
      </c>
      <c r="D131" s="12" t="n">
        <v>1039.35</v>
      </c>
      <c r="E131" s="15" t="n">
        <v>0.005085</v>
      </c>
      <c r="F131" s="18" t="n">
        <v>0.002603</v>
      </c>
      <c r="G131" t="inlineStr">
        <is>
          <t>Normal</t>
        </is>
      </c>
    </row>
    <row r="132">
      <c r="A132" s="6" t="n">
        <v>45540</v>
      </c>
      <c r="B132" t="inlineStr">
        <is>
          <t>Local Currency</t>
        </is>
      </c>
      <c r="C132" s="9" t="n">
        <v>0.002566</v>
      </c>
      <c r="D132" s="12" t="n">
        <v>1040.83</v>
      </c>
      <c r="E132" s="15" t="n">
        <v>0.004383</v>
      </c>
      <c r="F132" s="18" t="n">
        <v>0.002566</v>
      </c>
      <c r="G132" t="inlineStr">
        <is>
          <t>Normal</t>
        </is>
      </c>
    </row>
    <row r="133">
      <c r="A133" s="6" t="n">
        <v>45541</v>
      </c>
      <c r="B133" t="inlineStr">
        <is>
          <t>Hard Currency</t>
        </is>
      </c>
      <c r="C133" s="9" t="n">
        <v>0.004757</v>
      </c>
      <c r="D133" s="12" t="n">
        <v>1044.29</v>
      </c>
      <c r="E133" s="15" t="n">
        <v>0.00507</v>
      </c>
      <c r="F133" s="18" t="n">
        <v>0.004757</v>
      </c>
      <c r="G133" t="inlineStr">
        <is>
          <t>Normal</t>
        </is>
      </c>
    </row>
    <row r="134">
      <c r="A134" s="6" t="n">
        <v>45541</v>
      </c>
      <c r="B134" t="inlineStr">
        <is>
          <t>Local Currency</t>
        </is>
      </c>
      <c r="C134" s="9" t="n">
        <v>0.003657</v>
      </c>
      <c r="D134" s="12" t="n">
        <v>1044.63</v>
      </c>
      <c r="E134" s="15" t="n">
        <v>0.004383</v>
      </c>
      <c r="F134" s="18" t="n">
        <v>0.003657</v>
      </c>
      <c r="G134" t="inlineStr">
        <is>
          <t>Normal</t>
        </is>
      </c>
    </row>
    <row r="135">
      <c r="A135" s="6" t="n">
        <v>45544</v>
      </c>
      <c r="B135" t="inlineStr">
        <is>
          <t>Local Currency</t>
        </is>
      </c>
      <c r="C135" s="9" t="n">
        <v>-0.000404</v>
      </c>
      <c r="D135" s="12" t="n">
        <v>1044.21</v>
      </c>
      <c r="E135" s="15" t="n">
        <v>0.004383</v>
      </c>
      <c r="F135" s="18" t="n">
        <v>-0.000404</v>
      </c>
      <c r="G135" t="inlineStr">
        <is>
          <t>Normal</t>
        </is>
      </c>
    </row>
    <row r="136">
      <c r="A136" s="6" t="n">
        <v>45545</v>
      </c>
      <c r="B136" t="inlineStr">
        <is>
          <t>Hard Currency</t>
        </is>
      </c>
      <c r="C136" s="9" t="n">
        <v>0.000676</v>
      </c>
      <c r="D136" s="12" t="n">
        <v>1045</v>
      </c>
      <c r="E136" s="15" t="n">
        <v>0.00507</v>
      </c>
      <c r="F136" s="18" t="n">
        <v>0.000676</v>
      </c>
      <c r="G136" t="inlineStr">
        <is>
          <t>Normal</t>
        </is>
      </c>
    </row>
    <row r="137">
      <c r="A137" s="6" t="n">
        <v>45545</v>
      </c>
      <c r="B137" t="inlineStr">
        <is>
          <t>Local Currency</t>
        </is>
      </c>
      <c r="C137" s="9" t="n">
        <v>-0.001162</v>
      </c>
      <c r="D137" s="12" t="n">
        <v>1043</v>
      </c>
      <c r="E137" s="15" t="n">
        <v>0.004333</v>
      </c>
      <c r="F137" s="18" t="n">
        <v>-0.001162</v>
      </c>
      <c r="G137" t="inlineStr">
        <is>
          <t>Normal</t>
        </is>
      </c>
    </row>
    <row r="138">
      <c r="A138" s="6" t="n">
        <v>45546</v>
      </c>
      <c r="B138" t="inlineStr">
        <is>
          <t>Hard Currency</t>
        </is>
      </c>
      <c r="C138" s="9" t="n">
        <v>0.001568</v>
      </c>
      <c r="D138" s="12" t="n">
        <v>1046.64</v>
      </c>
      <c r="E138" s="15" t="n">
        <v>0.00507</v>
      </c>
      <c r="F138" s="18" t="n">
        <v>0.001568</v>
      </c>
      <c r="G138" t="inlineStr">
        <is>
          <t>Normal</t>
        </is>
      </c>
    </row>
    <row r="139">
      <c r="A139" s="6" t="n">
        <v>45546</v>
      </c>
      <c r="B139" t="inlineStr">
        <is>
          <t>Local Currency</t>
        </is>
      </c>
      <c r="C139" s="9" t="n">
        <v>0.002026</v>
      </c>
      <c r="D139" s="12" t="n">
        <v>1045.11</v>
      </c>
      <c r="E139" s="15" t="n">
        <v>0.004333</v>
      </c>
      <c r="F139" s="18" t="n">
        <v>0.002026</v>
      </c>
      <c r="G139" t="inlineStr">
        <is>
          <t>Normal</t>
        </is>
      </c>
    </row>
    <row r="140">
      <c r="A140" s="6" t="n">
        <v>45547</v>
      </c>
      <c r="B140" t="inlineStr">
        <is>
          <t>Hard Currency</t>
        </is>
      </c>
      <c r="C140" s="9" t="n">
        <v>-0.003089</v>
      </c>
      <c r="D140" s="12" t="n">
        <v>1043.4</v>
      </c>
      <c r="E140" s="15" t="n">
        <v>0.00507</v>
      </c>
      <c r="F140" s="18" t="n">
        <v>-0.003089</v>
      </c>
      <c r="G140" t="inlineStr">
        <is>
          <t>Normal</t>
        </is>
      </c>
    </row>
    <row r="141">
      <c r="A141" s="6" t="n">
        <v>45547</v>
      </c>
      <c r="B141" t="inlineStr">
        <is>
          <t>Local Currency</t>
        </is>
      </c>
      <c r="C141" s="9" t="n">
        <v>-0.00187</v>
      </c>
      <c r="D141" s="12" t="n">
        <v>1043.16</v>
      </c>
      <c r="E141" s="15" t="n">
        <v>0.004333</v>
      </c>
      <c r="F141" s="18" t="n">
        <v>-0.00187</v>
      </c>
      <c r="G141" t="inlineStr">
        <is>
          <t>Normal</t>
        </is>
      </c>
    </row>
    <row r="142">
      <c r="A142" s="6" t="n">
        <v>45548</v>
      </c>
      <c r="B142" t="inlineStr">
        <is>
          <t>Hard Currency</t>
        </is>
      </c>
      <c r="C142" s="9" t="n">
        <v>0.003202</v>
      </c>
      <c r="D142" s="12" t="n">
        <v>1046.74</v>
      </c>
      <c r="E142" s="15" t="n">
        <v>0.00507</v>
      </c>
      <c r="F142" s="18" t="n">
        <v>0.003202</v>
      </c>
      <c r="G142" t="inlineStr">
        <is>
          <t>Normal</t>
        </is>
      </c>
    </row>
    <row r="143">
      <c r="A143" s="6" t="n">
        <v>45548</v>
      </c>
      <c r="B143" t="inlineStr">
        <is>
          <t>Local Currency</t>
        </is>
      </c>
      <c r="C143" s="9" t="n">
        <v>0.003267</v>
      </c>
      <c r="D143" s="12" t="n">
        <v>1046.56</v>
      </c>
      <c r="E143" s="15" t="n">
        <v>0.004333</v>
      </c>
      <c r="F143" s="18" t="n">
        <v>0.003267</v>
      </c>
      <c r="G143" t="inlineStr">
        <is>
          <t>Normal</t>
        </is>
      </c>
    </row>
    <row r="144">
      <c r="A144" s="6" t="n">
        <v>45552</v>
      </c>
      <c r="B144" t="inlineStr">
        <is>
          <t>Hard Currency</t>
        </is>
      </c>
      <c r="C144" s="9" t="n">
        <v>0.000166</v>
      </c>
      <c r="D144" s="12" t="n">
        <v>1046.92</v>
      </c>
      <c r="E144" s="15" t="n">
        <v>0.00507</v>
      </c>
      <c r="F144" s="18" t="n">
        <v>0.000166</v>
      </c>
      <c r="G144" t="inlineStr">
        <is>
          <t>Normal</t>
        </is>
      </c>
    </row>
    <row r="145">
      <c r="A145" s="6" t="n">
        <v>45552</v>
      </c>
      <c r="B145" t="inlineStr">
        <is>
          <t>Local Currency</t>
        </is>
      </c>
      <c r="C145" s="9" t="n">
        <v>-0.000173</v>
      </c>
      <c r="D145" s="12" t="n">
        <v>1046.38</v>
      </c>
      <c r="E145" s="15" t="n">
        <v>0.004242</v>
      </c>
      <c r="F145" s="18" t="n">
        <v>-0.000173</v>
      </c>
      <c r="G145" t="inlineStr">
        <is>
          <t>Normal</t>
        </is>
      </c>
    </row>
    <row r="146">
      <c r="A146" s="6" t="n">
        <v>45553</v>
      </c>
      <c r="B146" t="inlineStr">
        <is>
          <t>Hard Currency</t>
        </is>
      </c>
      <c r="C146" s="9" t="n">
        <v>0.001515</v>
      </c>
      <c r="D146" s="12" t="n">
        <v>1048.5</v>
      </c>
      <c r="E146" s="15" t="n">
        <v>0.00507</v>
      </c>
      <c r="F146" s="18" t="n">
        <v>0.001515</v>
      </c>
      <c r="G146" t="inlineStr">
        <is>
          <t>Normal</t>
        </is>
      </c>
    </row>
    <row r="147">
      <c r="A147" s="6" t="n">
        <v>45553</v>
      </c>
      <c r="B147" t="inlineStr">
        <is>
          <t>Local Currency</t>
        </is>
      </c>
      <c r="C147" s="9" t="n">
        <v>0.00252</v>
      </c>
      <c r="D147" s="12" t="n">
        <v>1049.02</v>
      </c>
      <c r="E147" s="15" t="n">
        <v>0.004242</v>
      </c>
      <c r="F147" s="18" t="n">
        <v>0.00252</v>
      </c>
      <c r="G147" t="inlineStr">
        <is>
          <t>Normal</t>
        </is>
      </c>
    </row>
    <row r="148">
      <c r="A148" s="6" t="n">
        <v>45554</v>
      </c>
      <c r="B148" t="inlineStr">
        <is>
          <t>Hard Currency</t>
        </is>
      </c>
      <c r="C148" s="9" t="n">
        <v>-0.00182</v>
      </c>
      <c r="D148" s="12" t="n">
        <v>1046.6</v>
      </c>
      <c r="E148" s="15" t="n">
        <v>0.00507</v>
      </c>
      <c r="F148" s="18" t="n">
        <v>-0.00182</v>
      </c>
      <c r="G148" t="inlineStr">
        <is>
          <t>Normal</t>
        </is>
      </c>
    </row>
    <row r="149">
      <c r="A149" s="6" t="n">
        <v>45554</v>
      </c>
      <c r="B149" t="inlineStr">
        <is>
          <t>Local Currency</t>
        </is>
      </c>
      <c r="C149" s="9" t="n">
        <v>-0.002973</v>
      </c>
      <c r="D149" s="12" t="n">
        <v>1045.9</v>
      </c>
      <c r="E149" s="15" t="n">
        <v>0.004242</v>
      </c>
      <c r="F149" s="18" t="n">
        <v>-0.002973</v>
      </c>
      <c r="G149" t="inlineStr">
        <is>
          <t>Normal</t>
        </is>
      </c>
    </row>
    <row r="150">
      <c r="A150" s="6" t="n">
        <v>45555</v>
      </c>
      <c r="B150" t="inlineStr">
        <is>
          <t>Hard Currency</t>
        </is>
      </c>
      <c r="C150" s="9" t="n">
        <v>-0.004074</v>
      </c>
      <c r="D150" s="12" t="n">
        <v>1042.33</v>
      </c>
      <c r="E150" s="15" t="n">
        <v>0.00507</v>
      </c>
      <c r="F150" s="18" t="n">
        <v>-0.004074</v>
      </c>
      <c r="G150" t="inlineStr">
        <is>
          <t>Normal</t>
        </is>
      </c>
    </row>
    <row r="151">
      <c r="A151" s="6" t="n">
        <v>45555</v>
      </c>
      <c r="B151" t="inlineStr">
        <is>
          <t>Local Currency</t>
        </is>
      </c>
      <c r="C151" s="9" t="n">
        <v>-0.004627</v>
      </c>
      <c r="D151" s="12" t="n">
        <v>1041.06</v>
      </c>
      <c r="E151" s="15" t="n">
        <v>0.004333</v>
      </c>
      <c r="F151" s="18" t="n">
        <v>-0.004627</v>
      </c>
      <c r="G151" t="inlineStr">
        <is>
          <t>Normal</t>
        </is>
      </c>
    </row>
    <row r="152">
      <c r="A152" s="6" t="n">
        <v>45558</v>
      </c>
      <c r="B152" t="inlineStr">
        <is>
          <t>Hard Currency</t>
        </is>
      </c>
      <c r="C152" s="9" t="n">
        <v>-0.001615</v>
      </c>
      <c r="D152" s="12" t="n">
        <v>1040.65</v>
      </c>
      <c r="E152" s="15" t="n">
        <v>0.00507</v>
      </c>
      <c r="F152" s="18" t="n">
        <v>-0.001615</v>
      </c>
      <c r="G152" t="inlineStr">
        <is>
          <t>Normal</t>
        </is>
      </c>
    </row>
    <row r="153">
      <c r="A153" s="6" t="n">
        <v>45558</v>
      </c>
      <c r="B153" t="inlineStr">
        <is>
          <t>Local Currency</t>
        </is>
      </c>
      <c r="C153" s="9" t="n">
        <v>-0.002344</v>
      </c>
      <c r="D153" s="12" t="n">
        <v>1038.62</v>
      </c>
      <c r="E153" s="15" t="n">
        <v>0.004333</v>
      </c>
      <c r="F153" s="18" t="n">
        <v>-0.002344</v>
      </c>
      <c r="G153" t="inlineStr">
        <is>
          <t>Normal</t>
        </is>
      </c>
    </row>
    <row r="154">
      <c r="A154" s="6" t="n">
        <v>45560</v>
      </c>
      <c r="B154" t="inlineStr">
        <is>
          <t>Hard Currency</t>
        </is>
      </c>
      <c r="C154" s="9" t="n">
        <v>-0.001601</v>
      </c>
      <c r="D154" s="12" t="n">
        <v>1038.98</v>
      </c>
      <c r="E154" s="15" t="n">
        <v>0.00507</v>
      </c>
      <c r="F154" s="18" t="n">
        <v>-0.001601</v>
      </c>
      <c r="G154" t="inlineStr">
        <is>
          <t>Risk-On</t>
        </is>
      </c>
    </row>
    <row r="155">
      <c r="A155" s="6" t="n">
        <v>45560</v>
      </c>
      <c r="B155" t="inlineStr">
        <is>
          <t>Local Currency</t>
        </is>
      </c>
      <c r="C155" s="9" t="n">
        <v>-0.000126</v>
      </c>
      <c r="D155" s="12" t="n">
        <v>1038.49</v>
      </c>
      <c r="E155" s="15" t="n">
        <v>0.004333</v>
      </c>
      <c r="F155" s="18" t="n">
        <v>-0.000126</v>
      </c>
      <c r="G155" t="inlineStr">
        <is>
          <t>Risk-On</t>
        </is>
      </c>
    </row>
    <row r="156">
      <c r="A156" s="6" t="n">
        <v>45561</v>
      </c>
      <c r="B156" t="inlineStr">
        <is>
          <t>Hard Currency</t>
        </is>
      </c>
      <c r="C156" s="9" t="n">
        <v>0.00334</v>
      </c>
      <c r="D156" s="12" t="n">
        <v>1042.45</v>
      </c>
      <c r="E156" s="15" t="n">
        <v>0.00507</v>
      </c>
      <c r="F156" s="18" t="n">
        <v>0.00334</v>
      </c>
      <c r="G156" t="inlineStr">
        <is>
          <t>Risk-On</t>
        </is>
      </c>
    </row>
    <row r="157">
      <c r="A157" s="6" t="n">
        <v>45561</v>
      </c>
      <c r="B157" t="inlineStr">
        <is>
          <t>Local Currency</t>
        </is>
      </c>
      <c r="C157" s="9" t="n">
        <v>0.000969</v>
      </c>
      <c r="D157" s="12" t="n">
        <v>1039.5</v>
      </c>
      <c r="E157" s="15" t="n">
        <v>0.004333</v>
      </c>
      <c r="F157" s="18" t="n">
        <v>0.000969</v>
      </c>
      <c r="G157" t="inlineStr">
        <is>
          <t>Risk-On</t>
        </is>
      </c>
    </row>
    <row r="158">
      <c r="A158" s="6" t="n">
        <v>45562</v>
      </c>
      <c r="B158" t="inlineStr">
        <is>
          <t>Hard Currency</t>
        </is>
      </c>
      <c r="C158" s="9" t="n">
        <v>0.000499</v>
      </c>
      <c r="D158" s="12" t="n">
        <v>1042.97</v>
      </c>
      <c r="E158" s="15" t="n">
        <v>0.00507</v>
      </c>
      <c r="F158" s="18" t="n">
        <v>0.000499</v>
      </c>
      <c r="G158" t="inlineStr">
        <is>
          <t>Risk-On</t>
        </is>
      </c>
    </row>
    <row r="159">
      <c r="A159" s="6" t="n">
        <v>45562</v>
      </c>
      <c r="B159" t="inlineStr">
        <is>
          <t>Local Currency</t>
        </is>
      </c>
      <c r="C159" s="9" t="n">
        <v>-0.000636</v>
      </c>
      <c r="D159" s="12" t="n">
        <v>1038.84</v>
      </c>
      <c r="E159" s="15" t="n">
        <v>0.004333</v>
      </c>
      <c r="F159" s="18" t="n">
        <v>-0.000636</v>
      </c>
      <c r="G159" t="inlineStr">
        <is>
          <t>Risk-On</t>
        </is>
      </c>
    </row>
    <row r="160">
      <c r="A160" s="6" t="n">
        <v>45565</v>
      </c>
      <c r="B160" t="inlineStr">
        <is>
          <t>Local Currency</t>
        </is>
      </c>
      <c r="C160" s="9" t="n">
        <v>-0.001599</v>
      </c>
      <c r="D160" s="12" t="n">
        <v>1037.18</v>
      </c>
      <c r="E160" s="15" t="n">
        <v>0.004333</v>
      </c>
      <c r="F160" s="18" t="n">
        <v>-0.001599</v>
      </c>
      <c r="G160" t="inlineStr">
        <is>
          <t>Risk-On</t>
        </is>
      </c>
    </row>
    <row r="161">
      <c r="A161" s="6" t="n">
        <v>45567</v>
      </c>
      <c r="B161" t="inlineStr">
        <is>
          <t>Hard Currency</t>
        </is>
      </c>
      <c r="C161" s="9" t="n">
        <v>-0.001353</v>
      </c>
      <c r="D161" s="12" t="n">
        <v>1041.56</v>
      </c>
      <c r="E161" s="15" t="n">
        <v>0.00507</v>
      </c>
      <c r="F161" s="18" t="n">
        <v>-0.001353</v>
      </c>
      <c r="G161" t="inlineStr">
        <is>
          <t>Normal</t>
        </is>
      </c>
    </row>
    <row r="162">
      <c r="A162" s="6" t="n">
        <v>45567</v>
      </c>
      <c r="B162" t="inlineStr">
        <is>
          <t>Local Currency</t>
        </is>
      </c>
      <c r="C162" s="9" t="n">
        <v>-0.000848</v>
      </c>
      <c r="D162" s="12" t="n">
        <v>1036.3</v>
      </c>
      <c r="E162" s="15" t="n">
        <v>0.004333</v>
      </c>
      <c r="F162" s="18" t="n">
        <v>-0.000848</v>
      </c>
      <c r="G162" t="inlineStr">
        <is>
          <t>Normal</t>
        </is>
      </c>
    </row>
    <row r="163">
      <c r="A163" s="6" t="n">
        <v>45568</v>
      </c>
      <c r="B163" t="inlineStr">
        <is>
          <t>Hard Currency</t>
        </is>
      </c>
      <c r="C163" s="9" t="n">
        <v>-0.004698</v>
      </c>
      <c r="D163" s="12" t="n">
        <v>1036.67</v>
      </c>
      <c r="E163" s="15" t="n">
        <v>0.00507</v>
      </c>
      <c r="F163" s="18" t="n">
        <v>-0.004698</v>
      </c>
      <c r="G163" t="inlineStr">
        <is>
          <t>Risk-On</t>
        </is>
      </c>
    </row>
    <row r="164">
      <c r="A164" s="6" t="n">
        <v>45568</v>
      </c>
      <c r="B164" t="inlineStr">
        <is>
          <t>Local Currency</t>
        </is>
      </c>
      <c r="C164" s="9" t="n">
        <v>-0.002625</v>
      </c>
      <c r="D164" s="12" t="n">
        <v>1033.58</v>
      </c>
      <c r="E164" s="15" t="n">
        <v>0.004333</v>
      </c>
      <c r="F164" s="18" t="n">
        <v>-0.002625</v>
      </c>
      <c r="G164" t="inlineStr">
        <is>
          <t>Risk-On</t>
        </is>
      </c>
    </row>
    <row r="165">
      <c r="A165" s="6" t="n">
        <v>45569</v>
      </c>
      <c r="B165" t="inlineStr">
        <is>
          <t>Hard Currency</t>
        </is>
      </c>
      <c r="C165" s="9" t="n">
        <v>-0.004477</v>
      </c>
      <c r="D165" s="12" t="n">
        <v>1032.03</v>
      </c>
      <c r="E165" s="15" t="n">
        <v>0.00507</v>
      </c>
      <c r="F165" s="18" t="n">
        <v>-0.004477</v>
      </c>
      <c r="G165" t="inlineStr">
        <is>
          <t>Normal</t>
        </is>
      </c>
    </row>
    <row r="166">
      <c r="A166" s="6" t="n">
        <v>45569</v>
      </c>
      <c r="B166" t="inlineStr">
        <is>
          <t>Local Currency</t>
        </is>
      </c>
      <c r="C166" s="9" t="n">
        <v>-0.004447</v>
      </c>
      <c r="D166" s="12" t="n">
        <v>1028.98</v>
      </c>
      <c r="E166" s="15" t="n">
        <v>0.004333</v>
      </c>
      <c r="F166" s="18" t="n">
        <v>-0.004447</v>
      </c>
      <c r="G166" t="inlineStr">
        <is>
          <t>Normal</t>
        </is>
      </c>
    </row>
    <row r="167">
      <c r="A167" s="6" t="n">
        <v>45572</v>
      </c>
      <c r="B167" t="inlineStr">
        <is>
          <t>Local Currency</t>
        </is>
      </c>
      <c r="C167" s="9" t="n">
        <v>-0.001984</v>
      </c>
      <c r="D167" s="12" t="n">
        <v>1026.94</v>
      </c>
      <c r="E167" s="15" t="n">
        <v>0.004333</v>
      </c>
      <c r="F167" s="18" t="n">
        <v>-0.001984</v>
      </c>
      <c r="G167" t="inlineStr">
        <is>
          <t>Normal</t>
        </is>
      </c>
    </row>
    <row r="168">
      <c r="A168" s="6" t="n">
        <v>45573</v>
      </c>
      <c r="B168" t="inlineStr">
        <is>
          <t>Hard Currency</t>
        </is>
      </c>
      <c r="C168" s="9" t="n">
        <v>0.001995</v>
      </c>
      <c r="D168" s="12" t="n">
        <v>1034.09</v>
      </c>
      <c r="E168" s="15" t="n">
        <v>0.00507</v>
      </c>
      <c r="F168" s="18" t="n">
        <v>0.001995</v>
      </c>
      <c r="G168" t="inlineStr">
        <is>
          <t>Risk-On</t>
        </is>
      </c>
    </row>
    <row r="169">
      <c r="A169" s="6" t="n">
        <v>45573</v>
      </c>
      <c r="B169" t="inlineStr">
        <is>
          <t>Local Currency</t>
        </is>
      </c>
      <c r="C169" s="9" t="n">
        <v>0.002402</v>
      </c>
      <c r="D169" s="12" t="n">
        <v>1029.4</v>
      </c>
      <c r="E169" s="15" t="n">
        <v>0.004333</v>
      </c>
      <c r="F169" s="18" t="n">
        <v>0.002402</v>
      </c>
      <c r="G169" t="inlineStr">
        <is>
          <t>Risk-On</t>
        </is>
      </c>
    </row>
    <row r="170">
      <c r="A170" s="6" t="n">
        <v>45574</v>
      </c>
      <c r="B170" t="inlineStr">
        <is>
          <t>Hard Currency</t>
        </is>
      </c>
      <c r="C170" s="9" t="n">
        <v>-0.001864</v>
      </c>
      <c r="D170" s="12" t="n">
        <v>1032.16</v>
      </c>
      <c r="E170" s="15" t="n">
        <v>0.00507</v>
      </c>
      <c r="F170" s="18" t="n">
        <v>-0.001864</v>
      </c>
      <c r="G170" t="inlineStr">
        <is>
          <t>Normal</t>
        </is>
      </c>
    </row>
    <row r="171">
      <c r="A171" s="6" t="n">
        <v>45574</v>
      </c>
      <c r="B171" t="inlineStr">
        <is>
          <t>Local Currency</t>
        </is>
      </c>
      <c r="C171" s="9" t="n">
        <v>-0.003956</v>
      </c>
      <c r="D171" s="12" t="n">
        <v>1025.33</v>
      </c>
      <c r="E171" s="15" t="n">
        <v>0.004333</v>
      </c>
      <c r="F171" s="18" t="n">
        <v>-0.003956</v>
      </c>
      <c r="G171" t="inlineStr">
        <is>
          <t>Normal</t>
        </is>
      </c>
    </row>
    <row r="172">
      <c r="A172" s="6" t="n">
        <v>45575</v>
      </c>
      <c r="B172" t="inlineStr">
        <is>
          <t>Hard Currency</t>
        </is>
      </c>
      <c r="C172" s="9" t="n">
        <v>-0.00082</v>
      </c>
      <c r="D172" s="12" t="n">
        <v>1031.31</v>
      </c>
      <c r="E172" s="15" t="n">
        <v>0.00507</v>
      </c>
      <c r="F172" s="18" t="n">
        <v>-0.00082</v>
      </c>
      <c r="G172" t="inlineStr">
        <is>
          <t>Risk-On</t>
        </is>
      </c>
    </row>
    <row r="173">
      <c r="A173" s="6" t="n">
        <v>45575</v>
      </c>
      <c r="B173" t="inlineStr">
        <is>
          <t>Local Currency</t>
        </is>
      </c>
      <c r="C173" s="9" t="n">
        <v>-0.001954</v>
      </c>
      <c r="D173" s="12" t="n">
        <v>1023.33</v>
      </c>
      <c r="E173" s="15" t="n">
        <v>0.004333</v>
      </c>
      <c r="F173" s="18" t="n">
        <v>-0.001954</v>
      </c>
      <c r="G173" t="inlineStr">
        <is>
          <t>Risk-On</t>
        </is>
      </c>
    </row>
    <row r="174">
      <c r="A174" s="6" t="n">
        <v>45576</v>
      </c>
      <c r="B174" t="inlineStr">
        <is>
          <t>Hard Currency</t>
        </is>
      </c>
      <c r="C174" s="9" t="n">
        <v>-0.002308</v>
      </c>
      <c r="D174" s="12" t="n">
        <v>1028.93</v>
      </c>
      <c r="E174" s="15" t="n">
        <v>0.00507</v>
      </c>
      <c r="F174" s="18" t="n">
        <v>-0.002308</v>
      </c>
      <c r="G174" t="inlineStr">
        <is>
          <t>Normal</t>
        </is>
      </c>
    </row>
    <row r="175">
      <c r="A175" s="6" t="n">
        <v>45576</v>
      </c>
      <c r="B175" t="inlineStr">
        <is>
          <t>Local Currency</t>
        </is>
      </c>
      <c r="C175" s="9" t="n">
        <v>-0.003195</v>
      </c>
      <c r="D175" s="12" t="n">
        <v>1020.06</v>
      </c>
      <c r="E175" s="15" t="n">
        <v>0.004333</v>
      </c>
      <c r="F175" s="18" t="n">
        <v>-0.003195</v>
      </c>
      <c r="G175" t="inlineStr">
        <is>
          <t>Normal</t>
        </is>
      </c>
    </row>
    <row r="176">
      <c r="A176" s="6" t="n">
        <v>45579</v>
      </c>
      <c r="B176" t="inlineStr">
        <is>
          <t>Local Currency</t>
        </is>
      </c>
      <c r="C176" s="9" t="n">
        <v>0.001753</v>
      </c>
      <c r="D176" s="12" t="n">
        <v>1021.85</v>
      </c>
      <c r="E176" s="15" t="n">
        <v>0.004333</v>
      </c>
      <c r="F176" s="18" t="n">
        <v>0.001753</v>
      </c>
      <c r="G176" t="inlineStr">
        <is>
          <t>Normal</t>
        </is>
      </c>
    </row>
    <row r="177">
      <c r="A177" s="6" t="n">
        <v>45580</v>
      </c>
      <c r="B177" t="inlineStr">
        <is>
          <t>Local Currency</t>
        </is>
      </c>
      <c r="C177" s="9" t="n">
        <v>0.001186</v>
      </c>
      <c r="D177" s="12" t="n">
        <v>1023.06</v>
      </c>
      <c r="E177" s="15" t="n">
        <v>0.004333</v>
      </c>
      <c r="F177" s="18" t="n">
        <v>0.001186</v>
      </c>
      <c r="G177" t="inlineStr">
        <is>
          <t>Normal</t>
        </is>
      </c>
    </row>
    <row r="178">
      <c r="A178" s="6" t="n">
        <v>45581</v>
      </c>
      <c r="B178" t="inlineStr">
        <is>
          <t>Hard Currency</t>
        </is>
      </c>
      <c r="C178" s="9" t="n">
        <v>-0.001547</v>
      </c>
      <c r="D178" s="12" t="n">
        <v>1027.34</v>
      </c>
      <c r="E178" s="15" t="n">
        <v>0.00507</v>
      </c>
      <c r="F178" s="18" t="n">
        <v>-0.001547</v>
      </c>
      <c r="G178" t="inlineStr">
        <is>
          <t>Normal</t>
        </is>
      </c>
    </row>
    <row r="179">
      <c r="A179" s="6" t="n">
        <v>45581</v>
      </c>
      <c r="B179" t="inlineStr">
        <is>
          <t>Local Currency</t>
        </is>
      </c>
      <c r="C179" s="9" t="n">
        <v>-0.005312</v>
      </c>
      <c r="D179" s="12" t="n">
        <v>1017.63</v>
      </c>
      <c r="E179" s="15" t="n">
        <v>0.004393</v>
      </c>
      <c r="F179" s="18" t="n">
        <v>-0.005312</v>
      </c>
      <c r="G179" t="inlineStr">
        <is>
          <t>Normal</t>
        </is>
      </c>
    </row>
    <row r="180">
      <c r="A180" s="6" t="n">
        <v>45582</v>
      </c>
      <c r="B180" t="inlineStr">
        <is>
          <t>Hard Currency</t>
        </is>
      </c>
      <c r="C180" s="9" t="n">
        <v>-0.004794</v>
      </c>
      <c r="D180" s="12" t="n">
        <v>1022.42</v>
      </c>
      <c r="E180" s="15" t="n">
        <v>0.00507</v>
      </c>
      <c r="F180" s="18" t="n">
        <v>-0.004794</v>
      </c>
      <c r="G180" t="inlineStr">
        <is>
          <t>Normal</t>
        </is>
      </c>
    </row>
    <row r="181">
      <c r="A181" s="6" t="n">
        <v>45582</v>
      </c>
      <c r="B181" t="inlineStr">
        <is>
          <t>Local Currency</t>
        </is>
      </c>
      <c r="C181" s="9" t="n">
        <v>-0.004051</v>
      </c>
      <c r="D181" s="12" t="n">
        <v>1013.5</v>
      </c>
      <c r="E181" s="15" t="n">
        <v>0.004393</v>
      </c>
      <c r="F181" s="18" t="n">
        <v>-0.004051</v>
      </c>
      <c r="G181" t="inlineStr">
        <is>
          <t>Normal</t>
        </is>
      </c>
    </row>
    <row r="182">
      <c r="A182" s="6" t="n">
        <v>45583</v>
      </c>
      <c r="B182" t="inlineStr">
        <is>
          <t>Hard Currency</t>
        </is>
      </c>
      <c r="C182" s="9" t="n">
        <v>-0.001204</v>
      </c>
      <c r="D182" s="12" t="n">
        <v>1021.18</v>
      </c>
      <c r="E182" s="15" t="n">
        <v>0.00507</v>
      </c>
      <c r="F182" s="18" t="n">
        <v>-0.001204</v>
      </c>
      <c r="G182" t="inlineStr">
        <is>
          <t>Risk-On</t>
        </is>
      </c>
    </row>
    <row r="183">
      <c r="A183" s="6" t="n">
        <v>45583</v>
      </c>
      <c r="B183" t="inlineStr">
        <is>
          <t>Local Currency</t>
        </is>
      </c>
      <c r="C183" s="9" t="n">
        <v>-0.000629</v>
      </c>
      <c r="D183" s="12" t="n">
        <v>1012.87</v>
      </c>
      <c r="E183" s="15" t="n">
        <v>0.004393</v>
      </c>
      <c r="F183" s="18" t="n">
        <v>-0.000629</v>
      </c>
      <c r="G183" t="inlineStr">
        <is>
          <t>Risk-On</t>
        </is>
      </c>
    </row>
    <row r="184">
      <c r="A184" s="6" t="n">
        <v>45586</v>
      </c>
      <c r="B184" t="inlineStr">
        <is>
          <t>Local Currency</t>
        </is>
      </c>
      <c r="C184" s="9" t="n">
        <v>-0.00298</v>
      </c>
      <c r="D184" s="12" t="n">
        <v>1009.85</v>
      </c>
      <c r="E184" s="15" t="n">
        <v>0.004393</v>
      </c>
      <c r="F184" s="18" t="n">
        <v>-0.00298</v>
      </c>
      <c r="G184" t="inlineStr">
        <is>
          <t>Risk-On</t>
        </is>
      </c>
    </row>
    <row r="185">
      <c r="A185" s="6" t="n">
        <v>45587</v>
      </c>
      <c r="B185" t="inlineStr">
        <is>
          <t>Hard Currency</t>
        </is>
      </c>
      <c r="C185" s="9" t="n">
        <v>-0.003407</v>
      </c>
      <c r="D185" s="12" t="n">
        <v>1017.71</v>
      </c>
      <c r="E185" s="15" t="n">
        <v>0.00507</v>
      </c>
      <c r="F185" s="18" t="n">
        <v>-0.003407</v>
      </c>
      <c r="G185" t="inlineStr">
        <is>
          <t>Risk-On</t>
        </is>
      </c>
    </row>
    <row r="186">
      <c r="A186" s="6" t="n">
        <v>45587</v>
      </c>
      <c r="B186" t="inlineStr">
        <is>
          <t>Local Currency</t>
        </is>
      </c>
      <c r="C186" s="9" t="n">
        <v>-0.00127</v>
      </c>
      <c r="D186" s="12" t="n">
        <v>1008.57</v>
      </c>
      <c r="E186" s="15" t="n">
        <v>0.004393</v>
      </c>
      <c r="F186" s="18" t="n">
        <v>-0.00127</v>
      </c>
      <c r="G186" t="inlineStr">
        <is>
          <t>Risk-On</t>
        </is>
      </c>
    </row>
    <row r="187">
      <c r="A187" s="6" t="n">
        <v>45589</v>
      </c>
      <c r="B187" t="inlineStr">
        <is>
          <t>Hard Currency</t>
        </is>
      </c>
      <c r="C187" s="9" t="n">
        <v>0.002967</v>
      </c>
      <c r="D187" s="12" t="n">
        <v>1020.72</v>
      </c>
      <c r="E187" s="15" t="n">
        <v>0.00507</v>
      </c>
      <c r="F187" s="18" t="n">
        <v>0.002967</v>
      </c>
      <c r="G187" t="inlineStr">
        <is>
          <t>Normal</t>
        </is>
      </c>
    </row>
    <row r="188">
      <c r="A188" s="6" t="n">
        <v>45589</v>
      </c>
      <c r="B188" t="inlineStr">
        <is>
          <t>Local Currency</t>
        </is>
      </c>
      <c r="C188" s="9" t="n">
        <v>0.004152</v>
      </c>
      <c r="D188" s="12" t="n">
        <v>1012.75</v>
      </c>
      <c r="E188" s="15" t="n">
        <v>0.004393</v>
      </c>
      <c r="F188" s="18" t="n">
        <v>0.004152</v>
      </c>
      <c r="G188" t="inlineStr">
        <is>
          <t>Normal</t>
        </is>
      </c>
    </row>
    <row r="189">
      <c r="A189" s="6" t="n">
        <v>45590</v>
      </c>
      <c r="B189" t="inlineStr">
        <is>
          <t>Hard Currency</t>
        </is>
      </c>
      <c r="C189" s="9" t="n">
        <v>-0.002111</v>
      </c>
      <c r="D189" s="12" t="n">
        <v>1018.57</v>
      </c>
      <c r="E189" s="15" t="n">
        <v>0.00507</v>
      </c>
      <c r="F189" s="18" t="n">
        <v>-0.002111</v>
      </c>
      <c r="G189" t="inlineStr">
        <is>
          <t>Risk-On</t>
        </is>
      </c>
    </row>
    <row r="190">
      <c r="A190" s="6" t="n">
        <v>45590</v>
      </c>
      <c r="B190" t="inlineStr">
        <is>
          <t>Local Currency</t>
        </is>
      </c>
      <c r="C190" s="9" t="n">
        <v>0.000214</v>
      </c>
      <c r="D190" s="12" t="n">
        <v>1012.97</v>
      </c>
      <c r="E190" s="15" t="n">
        <v>0.004393</v>
      </c>
      <c r="F190" s="18" t="n">
        <v>0.000214</v>
      </c>
      <c r="G190" t="inlineStr">
        <is>
          <t>Risk-On</t>
        </is>
      </c>
    </row>
    <row r="191">
      <c r="A191" s="6" t="n">
        <v>45593</v>
      </c>
      <c r="B191" t="inlineStr">
        <is>
          <t>Local Currency</t>
        </is>
      </c>
      <c r="C191" s="9" t="n">
        <v>-0.001286</v>
      </c>
      <c r="D191" s="12" t="n">
        <v>1011.67</v>
      </c>
      <c r="E191" s="15" t="n">
        <v>0.004393</v>
      </c>
      <c r="F191" s="18" t="n">
        <v>-0.001286</v>
      </c>
      <c r="G191" t="inlineStr">
        <is>
          <t>Risk-On</t>
        </is>
      </c>
    </row>
    <row r="192">
      <c r="A192" s="6" t="n">
        <v>45594</v>
      </c>
      <c r="B192" t="inlineStr">
        <is>
          <t>Hard Currency</t>
        </is>
      </c>
      <c r="C192" s="9" t="n">
        <v>0.000341</v>
      </c>
      <c r="D192" s="12" t="n">
        <v>1018.92</v>
      </c>
      <c r="E192" s="15" t="n">
        <v>0.00507</v>
      </c>
      <c r="F192" s="18" t="n">
        <v>0.000341</v>
      </c>
      <c r="G192" t="inlineStr">
        <is>
          <t>Risk-On</t>
        </is>
      </c>
    </row>
    <row r="193">
      <c r="A193" s="6" t="n">
        <v>45594</v>
      </c>
      <c r="B193" t="inlineStr">
        <is>
          <t>Local Currency</t>
        </is>
      </c>
      <c r="C193" s="9" t="n">
        <v>-0.000555</v>
      </c>
      <c r="D193" s="12" t="n">
        <v>1011.11</v>
      </c>
      <c r="E193" s="15" t="n">
        <v>0.004393</v>
      </c>
      <c r="F193" s="18" t="n">
        <v>-0.000555</v>
      </c>
      <c r="G193" t="inlineStr">
        <is>
          <t>Risk-On</t>
        </is>
      </c>
    </row>
    <row r="194">
      <c r="A194" s="6" t="n">
        <v>45595</v>
      </c>
      <c r="B194" t="inlineStr">
        <is>
          <t>Hard Currency</t>
        </is>
      </c>
      <c r="C194" s="9" t="n">
        <v>0.000825</v>
      </c>
      <c r="D194" s="12" t="n">
        <v>1019.76</v>
      </c>
      <c r="E194" s="15" t="n">
        <v>0.00507</v>
      </c>
      <c r="F194" s="18" t="n">
        <v>0.000825</v>
      </c>
      <c r="G194" t="inlineStr">
        <is>
          <t>Normal</t>
        </is>
      </c>
    </row>
    <row r="195">
      <c r="A195" s="6" t="n">
        <v>45595</v>
      </c>
      <c r="B195" t="inlineStr">
        <is>
          <t>Local Currency</t>
        </is>
      </c>
      <c r="C195" s="9" t="n">
        <v>-7.499999999999999e-05</v>
      </c>
      <c r="D195" s="12" t="n">
        <v>1011.03</v>
      </c>
      <c r="E195" s="15" t="n">
        <v>0.004393</v>
      </c>
      <c r="F195" s="18" t="n">
        <v>-7.499999999999999e-05</v>
      </c>
      <c r="G195" t="inlineStr">
        <is>
          <t>Normal</t>
        </is>
      </c>
    </row>
    <row r="196">
      <c r="A196" s="6" t="n">
        <v>45596</v>
      </c>
      <c r="B196" t="inlineStr">
        <is>
          <t>Hard Currency</t>
        </is>
      </c>
      <c r="C196" s="9" t="n">
        <v>-5.4e-05</v>
      </c>
      <c r="D196" s="12" t="n">
        <v>1019.7</v>
      </c>
      <c r="E196" s="15" t="n">
        <v>0.005019</v>
      </c>
      <c r="F196" s="18" t="n">
        <v>-5.4e-05</v>
      </c>
      <c r="G196" t="inlineStr">
        <is>
          <t>Risk-On</t>
        </is>
      </c>
    </row>
    <row r="197">
      <c r="A197" s="6" t="n">
        <v>45596</v>
      </c>
      <c r="B197" t="inlineStr">
        <is>
          <t>Local Currency</t>
        </is>
      </c>
      <c r="C197" s="9" t="n">
        <v>-0.000548</v>
      </c>
      <c r="D197" s="12" t="n">
        <v>1010.48</v>
      </c>
      <c r="E197" s="15" t="n">
        <v>0.004393</v>
      </c>
      <c r="F197" s="18" t="n">
        <v>-0.000548</v>
      </c>
      <c r="G197" t="inlineStr">
        <is>
          <t>Risk-On</t>
        </is>
      </c>
    </row>
    <row r="198">
      <c r="A198" s="6" t="n">
        <v>45600</v>
      </c>
      <c r="B198" t="inlineStr">
        <is>
          <t>Local Currency</t>
        </is>
      </c>
      <c r="C198" s="9" t="n">
        <v>0.003453</v>
      </c>
      <c r="D198" s="12" t="n">
        <v>1013.97</v>
      </c>
      <c r="E198" s="15" t="n">
        <v>0.004393</v>
      </c>
      <c r="F198" s="18" t="n">
        <v>0.003453</v>
      </c>
      <c r="G198" t="inlineStr">
        <is>
          <t>Risk-On</t>
        </is>
      </c>
    </row>
    <row r="199">
      <c r="A199" s="6" t="n">
        <v>45601</v>
      </c>
      <c r="B199" t="inlineStr">
        <is>
          <t>Local Currency</t>
        </is>
      </c>
      <c r="C199" s="9" t="n">
        <v>0.002852</v>
      </c>
      <c r="D199" s="12" t="n">
        <v>1016.86</v>
      </c>
      <c r="E199" s="15" t="n">
        <v>0.004393</v>
      </c>
      <c r="F199" s="18" t="n">
        <v>0.002852</v>
      </c>
      <c r="G199" t="inlineStr">
        <is>
          <t>Risk-On</t>
        </is>
      </c>
    </row>
    <row r="200">
      <c r="A200" s="6" t="n">
        <v>45602</v>
      </c>
      <c r="B200" t="inlineStr">
        <is>
          <t>Hard Currency</t>
        </is>
      </c>
      <c r="C200" s="9" t="n">
        <v>-0.000572</v>
      </c>
      <c r="D200" s="12" t="n">
        <v>1019.12</v>
      </c>
      <c r="E200" s="15" t="n">
        <v>0.005019</v>
      </c>
      <c r="F200" s="18" t="n">
        <v>-0.000572</v>
      </c>
      <c r="G200" t="inlineStr">
        <is>
          <t>Risk-On</t>
        </is>
      </c>
    </row>
    <row r="201">
      <c r="A201" s="6" t="n">
        <v>45602</v>
      </c>
      <c r="B201" t="inlineStr">
        <is>
          <t>Local Currency</t>
        </is>
      </c>
      <c r="C201" s="9" t="n">
        <v>0.000471</v>
      </c>
      <c r="D201" s="12" t="n">
        <v>1017.34</v>
      </c>
      <c r="E201" s="15" t="n">
        <v>0.004393</v>
      </c>
      <c r="F201" s="18" t="n">
        <v>0.000471</v>
      </c>
      <c r="G201" t="inlineStr">
        <is>
          <t>Risk-On</t>
        </is>
      </c>
    </row>
    <row r="202">
      <c r="A202" s="6" t="n">
        <v>45603</v>
      </c>
      <c r="B202" t="inlineStr">
        <is>
          <t>Hard Currency</t>
        </is>
      </c>
      <c r="C202" s="9" t="n">
        <v>0.012879</v>
      </c>
      <c r="D202" s="12" t="n">
        <v>1032.24</v>
      </c>
      <c r="E202" s="15" t="n">
        <v>0.005019</v>
      </c>
      <c r="F202" s="18" t="n">
        <v>0.012879</v>
      </c>
      <c r="G202" t="inlineStr">
        <is>
          <t>Rate Shock</t>
        </is>
      </c>
    </row>
    <row r="203">
      <c r="A203" s="6" t="n">
        <v>45603</v>
      </c>
      <c r="B203" t="inlineStr">
        <is>
          <t>Local Currency</t>
        </is>
      </c>
      <c r="C203" s="9" t="n">
        <v>0.003106</v>
      </c>
      <c r="D203" s="12" t="n">
        <v>1020.5</v>
      </c>
      <c r="E203" s="15" t="n">
        <v>0.004393</v>
      </c>
      <c r="F203" s="18" t="n">
        <v>0.003106</v>
      </c>
      <c r="G203" t="inlineStr">
        <is>
          <t>Rate Shock</t>
        </is>
      </c>
    </row>
    <row r="204">
      <c r="A204" s="6" t="n">
        <v>45604</v>
      </c>
      <c r="B204" t="inlineStr">
        <is>
          <t>Hard Currency</t>
        </is>
      </c>
      <c r="C204" s="9" t="n">
        <v>-0.000587</v>
      </c>
      <c r="D204" s="12" t="n">
        <v>1031.64</v>
      </c>
      <c r="E204" s="15" t="n">
        <v>0.005019</v>
      </c>
      <c r="F204" s="18" t="n">
        <v>-0.000587</v>
      </c>
      <c r="G204" t="inlineStr">
        <is>
          <t>Risk-On</t>
        </is>
      </c>
    </row>
    <row r="205">
      <c r="A205" s="6" t="n">
        <v>45604</v>
      </c>
      <c r="B205" t="inlineStr">
        <is>
          <t>Local Currency</t>
        </is>
      </c>
      <c r="C205" s="9" t="n">
        <v>-0.0003</v>
      </c>
      <c r="D205" s="12" t="n">
        <v>1020.19</v>
      </c>
      <c r="E205" s="15" t="n">
        <v>0.004333</v>
      </c>
      <c r="F205" s="18" t="n">
        <v>-0.0003</v>
      </c>
      <c r="G205" t="inlineStr">
        <is>
          <t>Risk-On</t>
        </is>
      </c>
    </row>
    <row r="206">
      <c r="A206" s="6" t="n">
        <v>45608</v>
      </c>
      <c r="B206" t="inlineStr">
        <is>
          <t>Local Currency</t>
        </is>
      </c>
      <c r="C206" s="9" t="n">
        <v>-0.002941</v>
      </c>
      <c r="D206" s="12" t="n">
        <v>1017.19</v>
      </c>
      <c r="E206" s="15" t="n">
        <v>0.004333</v>
      </c>
      <c r="F206" s="18" t="n">
        <v>-0.002941</v>
      </c>
      <c r="G206" t="inlineStr">
        <is>
          <t>Risk-On</t>
        </is>
      </c>
    </row>
    <row r="207">
      <c r="A207" s="6" t="n">
        <v>45610</v>
      </c>
      <c r="B207" t="inlineStr">
        <is>
          <t>Hard Currency</t>
        </is>
      </c>
      <c r="C207" s="9" t="n">
        <v>0.0008050000000000001</v>
      </c>
      <c r="D207" s="12" t="n">
        <v>1032.47</v>
      </c>
      <c r="E207" s="15" t="n">
        <v>0.005019</v>
      </c>
      <c r="F207" s="18" t="n">
        <v>0.0008050000000000001</v>
      </c>
      <c r="G207" t="inlineStr">
        <is>
          <t>Normal</t>
        </is>
      </c>
    </row>
    <row r="208">
      <c r="A208" s="6" t="n">
        <v>45610</v>
      </c>
      <c r="B208" t="inlineStr">
        <is>
          <t>Local Currency</t>
        </is>
      </c>
      <c r="C208" s="9" t="n">
        <v>0.001128</v>
      </c>
      <c r="D208" s="12" t="n">
        <v>1018.34</v>
      </c>
      <c r="E208" s="15" t="n">
        <v>0.004333</v>
      </c>
      <c r="F208" s="18" t="n">
        <v>0.001128</v>
      </c>
      <c r="G208" t="inlineStr">
        <is>
          <t>Normal</t>
        </is>
      </c>
    </row>
    <row r="209">
      <c r="A209" s="6" t="n">
        <v>45615</v>
      </c>
      <c r="B209" t="inlineStr">
        <is>
          <t>Hard Currency</t>
        </is>
      </c>
      <c r="C209" s="9" t="n">
        <v>0.00258</v>
      </c>
      <c r="D209" s="12" t="n">
        <v>1035.13</v>
      </c>
      <c r="E209" s="15" t="n">
        <v>0.005019</v>
      </c>
      <c r="F209" s="18" t="n">
        <v>0.00258</v>
      </c>
      <c r="G209" t="inlineStr">
        <is>
          <t>Normal</t>
        </is>
      </c>
    </row>
    <row r="210">
      <c r="A210" s="6" t="n">
        <v>45615</v>
      </c>
      <c r="B210" t="inlineStr">
        <is>
          <t>Local Currency</t>
        </is>
      </c>
      <c r="C210" s="9" t="n">
        <v>0.002583</v>
      </c>
      <c r="D210" s="12" t="n">
        <v>1020.97</v>
      </c>
      <c r="E210" s="15" t="n">
        <v>0.004333</v>
      </c>
      <c r="F210" s="18" t="n">
        <v>0.002583</v>
      </c>
      <c r="G210" t="inlineStr">
        <is>
          <t>Normal</t>
        </is>
      </c>
    </row>
    <row r="211">
      <c r="A211" s="6" t="n">
        <v>45617</v>
      </c>
      <c r="B211" t="inlineStr">
        <is>
          <t>Hard Currency</t>
        </is>
      </c>
      <c r="C211" s="9" t="n">
        <v>0.002219</v>
      </c>
      <c r="D211" s="12" t="n">
        <v>1037.43</v>
      </c>
      <c r="E211" s="15" t="n">
        <v>0.005019</v>
      </c>
      <c r="F211" s="18" t="n">
        <v>0.002219</v>
      </c>
      <c r="G211" t="inlineStr">
        <is>
          <t>Normal</t>
        </is>
      </c>
    </row>
    <row r="212">
      <c r="A212" s="6" t="n">
        <v>45617</v>
      </c>
      <c r="B212" t="inlineStr">
        <is>
          <t>Local Currency</t>
        </is>
      </c>
      <c r="C212" s="9" t="n">
        <v>0.000905</v>
      </c>
      <c r="D212" s="12" t="n">
        <v>1021.89</v>
      </c>
      <c r="E212" s="15" t="n">
        <v>0.004333</v>
      </c>
      <c r="F212" s="18" t="n">
        <v>0.000905</v>
      </c>
      <c r="G212" t="inlineStr">
        <is>
          <t>Normal</t>
        </is>
      </c>
    </row>
    <row r="213">
      <c r="A213" s="6" t="n">
        <v>45618</v>
      </c>
      <c r="B213" t="inlineStr">
        <is>
          <t>Hard Currency</t>
        </is>
      </c>
      <c r="C213" s="9" t="n">
        <v>-0.003173</v>
      </c>
      <c r="D213" s="12" t="n">
        <v>1034.14</v>
      </c>
      <c r="E213" s="15" t="n">
        <v>0.005019</v>
      </c>
      <c r="F213" s="18" t="n">
        <v>-0.003173</v>
      </c>
      <c r="G213" t="inlineStr">
        <is>
          <t>Normal</t>
        </is>
      </c>
    </row>
    <row r="214">
      <c r="A214" s="6" t="n">
        <v>45618</v>
      </c>
      <c r="B214" t="inlineStr">
        <is>
          <t>Local Currency</t>
        </is>
      </c>
      <c r="C214" s="9" t="n">
        <v>-0.001399</v>
      </c>
      <c r="D214" s="12" t="n">
        <v>1020.46</v>
      </c>
      <c r="E214" s="15" t="n">
        <v>0.004333</v>
      </c>
      <c r="F214" s="18" t="n">
        <v>-0.001399</v>
      </c>
      <c r="G214" t="inlineStr">
        <is>
          <t>Normal</t>
        </is>
      </c>
    </row>
    <row r="215">
      <c r="A215" s="6" t="n">
        <v>45621</v>
      </c>
      <c r="B215" t="inlineStr">
        <is>
          <t>Hard Currency</t>
        </is>
      </c>
      <c r="C215" s="9" t="n">
        <v>0.001701</v>
      </c>
      <c r="D215" s="12" t="n">
        <v>1035.9</v>
      </c>
      <c r="E215" s="15" t="n">
        <v>0.005019</v>
      </c>
      <c r="F215" s="18" t="n">
        <v>0.001701</v>
      </c>
      <c r="G215" t="inlineStr">
        <is>
          <t>Normal</t>
        </is>
      </c>
    </row>
    <row r="216">
      <c r="A216" s="6" t="n">
        <v>45621</v>
      </c>
      <c r="B216" t="inlineStr">
        <is>
          <t>Local Currency</t>
        </is>
      </c>
      <c r="C216" s="9" t="n">
        <v>0.002223</v>
      </c>
      <c r="D216" s="12" t="n">
        <v>1022.73</v>
      </c>
      <c r="E216" s="15" t="n">
        <v>0.004333</v>
      </c>
      <c r="F216" s="18" t="n">
        <v>0.002223</v>
      </c>
      <c r="G216" t="inlineStr">
        <is>
          <t>Normal</t>
        </is>
      </c>
    </row>
    <row r="217">
      <c r="A217" s="6" t="n">
        <v>45624</v>
      </c>
      <c r="B217" t="inlineStr">
        <is>
          <t>Hard Currency</t>
        </is>
      </c>
      <c r="C217" s="9" t="n">
        <v>-0.00316</v>
      </c>
      <c r="D217" s="12" t="n">
        <v>1032.62</v>
      </c>
      <c r="E217" s="15" t="n">
        <v>0.005019</v>
      </c>
      <c r="F217" s="18" t="n">
        <v>-0.00316</v>
      </c>
      <c r="G217" t="inlineStr">
        <is>
          <t>Normal</t>
        </is>
      </c>
    </row>
    <row r="218">
      <c r="A218" s="6" t="n">
        <v>45624</v>
      </c>
      <c r="B218" t="inlineStr">
        <is>
          <t>Local Currency</t>
        </is>
      </c>
      <c r="C218" s="9" t="n">
        <v>-0.003295</v>
      </c>
      <c r="D218" s="12" t="n">
        <v>1019.36</v>
      </c>
      <c r="E218" s="15" t="n">
        <v>0.004333</v>
      </c>
      <c r="F218" s="18" t="n">
        <v>-0.003295</v>
      </c>
      <c r="G218" t="inlineStr">
        <is>
          <t>Normal</t>
        </is>
      </c>
    </row>
    <row r="219">
      <c r="A219" s="6" t="n">
        <v>45625</v>
      </c>
      <c r="B219" t="inlineStr">
        <is>
          <t>Hard Currency</t>
        </is>
      </c>
      <c r="C219" s="9" t="n">
        <v>0.001735</v>
      </c>
      <c r="D219" s="12" t="n">
        <v>1034.41</v>
      </c>
      <c r="E219" s="15" t="n">
        <v>0.005019</v>
      </c>
      <c r="F219" s="18" t="n">
        <v>0.001735</v>
      </c>
      <c r="G219" t="inlineStr">
        <is>
          <t>Normal</t>
        </is>
      </c>
    </row>
    <row r="220">
      <c r="A220" s="6" t="n">
        <v>45625</v>
      </c>
      <c r="B220" t="inlineStr">
        <is>
          <t>Local Currency</t>
        </is>
      </c>
      <c r="C220" s="9" t="n">
        <v>0.000436</v>
      </c>
      <c r="D220" s="12" t="n">
        <v>1019.8</v>
      </c>
      <c r="E220" s="15" t="n">
        <v>0.004333</v>
      </c>
      <c r="F220" s="18" t="n">
        <v>0.000436</v>
      </c>
      <c r="G220" t="inlineStr">
        <is>
          <t>Normal</t>
        </is>
      </c>
    </row>
    <row r="221">
      <c r="A221" s="6" t="n">
        <v>45628</v>
      </c>
      <c r="B221" t="inlineStr">
        <is>
          <t>Hard Currency</t>
        </is>
      </c>
      <c r="C221" s="9" t="n">
        <v>3.4e-05</v>
      </c>
      <c r="D221" s="12" t="n">
        <v>1034.45</v>
      </c>
      <c r="E221" s="15" t="n">
        <v>0.005019</v>
      </c>
      <c r="F221" s="18" t="n">
        <v>3.4e-05</v>
      </c>
      <c r="G221" t="inlineStr">
        <is>
          <t>Risk-On</t>
        </is>
      </c>
    </row>
    <row r="222">
      <c r="A222" s="6" t="n">
        <v>45628</v>
      </c>
      <c r="B222" t="inlineStr">
        <is>
          <t>Local Currency</t>
        </is>
      </c>
      <c r="C222" s="9" t="n">
        <v>-0.000655</v>
      </c>
      <c r="D222" s="12" t="n">
        <v>1019.14</v>
      </c>
      <c r="E222" s="15" t="n">
        <v>0.004333</v>
      </c>
      <c r="F222" s="18" t="n">
        <v>-0.000655</v>
      </c>
      <c r="G222" t="inlineStr">
        <is>
          <t>Risk-On</t>
        </is>
      </c>
    </row>
    <row r="223">
      <c r="A223" s="6" t="n">
        <v>45629</v>
      </c>
      <c r="B223" t="inlineStr">
        <is>
          <t>Hard Currency</t>
        </is>
      </c>
      <c r="C223" s="9" t="n">
        <v>-0.002722</v>
      </c>
      <c r="D223" s="12" t="n">
        <v>1031.63</v>
      </c>
      <c r="E223" s="15" t="n">
        <v>0.005019</v>
      </c>
      <c r="F223" s="18" t="n">
        <v>-0.002722</v>
      </c>
      <c r="G223" t="inlineStr">
        <is>
          <t>Normal</t>
        </is>
      </c>
    </row>
    <row r="224">
      <c r="A224" s="6" t="n">
        <v>45629</v>
      </c>
      <c r="B224" t="inlineStr">
        <is>
          <t>Local Currency</t>
        </is>
      </c>
      <c r="C224" s="9" t="n">
        <v>-0.00478</v>
      </c>
      <c r="D224" s="12" t="n">
        <v>1014.27</v>
      </c>
      <c r="E224" s="15" t="n">
        <v>0.004393</v>
      </c>
      <c r="F224" s="18" t="n">
        <v>-0.00478</v>
      </c>
      <c r="G224" t="inlineStr">
        <is>
          <t>Normal</t>
        </is>
      </c>
    </row>
    <row r="225">
      <c r="A225" s="6" t="n">
        <v>45630</v>
      </c>
      <c r="B225" t="inlineStr">
        <is>
          <t>Hard Currency</t>
        </is>
      </c>
      <c r="C225" s="9" t="n">
        <v>-0.003642</v>
      </c>
      <c r="D225" s="12" t="n">
        <v>1027.88</v>
      </c>
      <c r="E225" s="15" t="n">
        <v>0.005019</v>
      </c>
      <c r="F225" s="18" t="n">
        <v>-0.003642</v>
      </c>
      <c r="G225" t="inlineStr">
        <is>
          <t>Normal</t>
        </is>
      </c>
    </row>
    <row r="226">
      <c r="A226" s="6" t="n">
        <v>45630</v>
      </c>
      <c r="B226" t="inlineStr">
        <is>
          <t>Local Currency</t>
        </is>
      </c>
      <c r="C226" s="9" t="n">
        <v>-0.0009700000000000001</v>
      </c>
      <c r="D226" s="12" t="n">
        <v>1013.28</v>
      </c>
      <c r="E226" s="15" t="n">
        <v>0.004393</v>
      </c>
      <c r="F226" s="18" t="n">
        <v>-0.0009700000000000001</v>
      </c>
      <c r="G226" t="inlineStr">
        <is>
          <t>Normal</t>
        </is>
      </c>
    </row>
    <row r="227">
      <c r="A227" s="6" t="n">
        <v>45631</v>
      </c>
      <c r="B227" t="inlineStr">
        <is>
          <t>Hard Currency</t>
        </is>
      </c>
      <c r="C227" s="9" t="n">
        <v>-0.000942</v>
      </c>
      <c r="D227" s="12" t="n">
        <v>1026.91</v>
      </c>
      <c r="E227" s="15" t="n">
        <v>0.005019</v>
      </c>
      <c r="F227" s="18" t="n">
        <v>-0.000942</v>
      </c>
      <c r="G227" t="inlineStr">
        <is>
          <t>Risk-On</t>
        </is>
      </c>
    </row>
    <row r="228">
      <c r="A228" s="6" t="n">
        <v>45631</v>
      </c>
      <c r="B228" t="inlineStr">
        <is>
          <t>Local Currency</t>
        </is>
      </c>
      <c r="C228" s="9" t="n">
        <v>-0.001576</v>
      </c>
      <c r="D228" s="12" t="n">
        <v>1011.68</v>
      </c>
      <c r="E228" s="15" t="n">
        <v>0.004393</v>
      </c>
      <c r="F228" s="18" t="n">
        <v>-0.001576</v>
      </c>
      <c r="G228" t="inlineStr">
        <is>
          <t>Risk-On</t>
        </is>
      </c>
    </row>
    <row r="229">
      <c r="A229" s="6" t="n">
        <v>45632</v>
      </c>
      <c r="B229" t="inlineStr">
        <is>
          <t>Hard Currency</t>
        </is>
      </c>
      <c r="C229" s="9" t="n">
        <v>0.000483</v>
      </c>
      <c r="D229" s="12" t="n">
        <v>1027.41</v>
      </c>
      <c r="E229" s="15" t="n">
        <v>0.005019</v>
      </c>
      <c r="F229" s="18" t="n">
        <v>0.000483</v>
      </c>
      <c r="G229" t="inlineStr">
        <is>
          <t>Normal</t>
        </is>
      </c>
    </row>
    <row r="230">
      <c r="A230" s="6" t="n">
        <v>45632</v>
      </c>
      <c r="B230" t="inlineStr">
        <is>
          <t>Local Currency</t>
        </is>
      </c>
      <c r="C230" s="9" t="n">
        <v>-0.000338</v>
      </c>
      <c r="D230" s="12" t="n">
        <v>1011.34</v>
      </c>
      <c r="E230" s="15" t="n">
        <v>0.004393</v>
      </c>
      <c r="F230" s="18" t="n">
        <v>-0.000338</v>
      </c>
      <c r="G230" t="inlineStr">
        <is>
          <t>Normal</t>
        </is>
      </c>
    </row>
    <row r="231">
      <c r="A231" s="6" t="n">
        <v>45635</v>
      </c>
      <c r="B231" t="inlineStr">
        <is>
          <t>Local Currency</t>
        </is>
      </c>
      <c r="C231" s="9" t="n">
        <v>-0.007273</v>
      </c>
      <c r="D231" s="12" t="n">
        <v>1003.99</v>
      </c>
      <c r="E231" s="15" t="n">
        <v>0.004481</v>
      </c>
      <c r="F231" s="18" t="n">
        <v>-0.007273</v>
      </c>
      <c r="G231" t="inlineStr">
        <is>
          <t>Normal</t>
        </is>
      </c>
    </row>
    <row r="232">
      <c r="A232" s="6" t="n">
        <v>45636</v>
      </c>
      <c r="B232" t="inlineStr">
        <is>
          <t>Hard Currency</t>
        </is>
      </c>
      <c r="C232" s="9" t="n">
        <v>0.002079</v>
      </c>
      <c r="D232" s="12" t="n">
        <v>1029.54</v>
      </c>
      <c r="E232" s="15" t="n">
        <v>0.005019</v>
      </c>
      <c r="F232" s="18" t="n">
        <v>0.002079</v>
      </c>
      <c r="G232" t="inlineStr">
        <is>
          <t>Normal</t>
        </is>
      </c>
    </row>
    <row r="233">
      <c r="A233" s="6" t="n">
        <v>45636</v>
      </c>
      <c r="B233" t="inlineStr">
        <is>
          <t>Local Currency</t>
        </is>
      </c>
      <c r="C233" s="9" t="n">
        <v>0.003473</v>
      </c>
      <c r="D233" s="12" t="n">
        <v>1007.47</v>
      </c>
      <c r="E233" s="15" t="n">
        <v>0.004481</v>
      </c>
      <c r="F233" s="18" t="n">
        <v>0.003473</v>
      </c>
      <c r="G233" t="inlineStr">
        <is>
          <t>Normal</t>
        </is>
      </c>
    </row>
    <row r="234">
      <c r="A234" s="6" t="n">
        <v>45637</v>
      </c>
      <c r="B234" t="inlineStr">
        <is>
          <t>Hard Currency</t>
        </is>
      </c>
      <c r="C234" s="9" t="n">
        <v>0.001914</v>
      </c>
      <c r="D234" s="12" t="n">
        <v>1031.51</v>
      </c>
      <c r="E234" s="15" t="n">
        <v>0.005019</v>
      </c>
      <c r="F234" s="18" t="n">
        <v>0.001914</v>
      </c>
      <c r="G234" t="inlineStr">
        <is>
          <t>Normal</t>
        </is>
      </c>
    </row>
    <row r="235">
      <c r="A235" s="6" t="n">
        <v>45637</v>
      </c>
      <c r="B235" t="inlineStr">
        <is>
          <t>Local Currency</t>
        </is>
      </c>
      <c r="C235" s="9" t="n">
        <v>0.006528</v>
      </c>
      <c r="D235" s="12" t="n">
        <v>1014.05</v>
      </c>
      <c r="E235" s="15" t="n">
        <v>0.004481</v>
      </c>
      <c r="F235" s="18" t="n">
        <v>0.006528</v>
      </c>
      <c r="G235" t="inlineStr">
        <is>
          <t>Normal</t>
        </is>
      </c>
    </row>
    <row r="236">
      <c r="A236" s="6" t="n">
        <v>45639</v>
      </c>
      <c r="B236" t="inlineStr">
        <is>
          <t>Hard Currency</t>
        </is>
      </c>
      <c r="C236" s="9" t="n">
        <v>-0.003863</v>
      </c>
      <c r="D236" s="12" t="n">
        <v>1027.53</v>
      </c>
      <c r="E236" s="15" t="n">
        <v>0.004894</v>
      </c>
      <c r="F236" s="18" t="n">
        <v>-0.003863</v>
      </c>
      <c r="G236" t="inlineStr">
        <is>
          <t>Normal</t>
        </is>
      </c>
    </row>
    <row r="237">
      <c r="A237" s="6" t="n">
        <v>45639</v>
      </c>
      <c r="B237" t="inlineStr">
        <is>
          <t>Local Currency</t>
        </is>
      </c>
      <c r="C237" s="9" t="n">
        <v>-0.005816</v>
      </c>
      <c r="D237" s="12" t="n">
        <v>1008.15</v>
      </c>
      <c r="E237" s="15" t="n">
        <v>0.004559</v>
      </c>
      <c r="F237" s="18" t="n">
        <v>-0.005816</v>
      </c>
      <c r="G237" t="inlineStr">
        <is>
          <t>Normal</t>
        </is>
      </c>
    </row>
    <row r="238">
      <c r="A238" s="6" t="n">
        <v>45643</v>
      </c>
      <c r="B238" t="inlineStr">
        <is>
          <t>Hard Currency</t>
        </is>
      </c>
      <c r="C238" s="9" t="n">
        <v>-0.003161</v>
      </c>
      <c r="D238" s="12" t="n">
        <v>1024.28</v>
      </c>
      <c r="E238" s="15" t="n">
        <v>0.004894</v>
      </c>
      <c r="F238" s="18" t="n">
        <v>-0.003161</v>
      </c>
      <c r="G238" t="inlineStr">
        <is>
          <t>Normal</t>
        </is>
      </c>
    </row>
    <row r="239">
      <c r="A239" s="6" t="n">
        <v>45643</v>
      </c>
      <c r="B239" t="inlineStr">
        <is>
          <t>Local Currency</t>
        </is>
      </c>
      <c r="C239" s="9" t="n">
        <v>0.000648</v>
      </c>
      <c r="D239" s="12" t="n">
        <v>1008.81</v>
      </c>
      <c r="E239" s="15" t="n">
        <v>0.004559</v>
      </c>
      <c r="F239" s="18" t="n">
        <v>0.000648</v>
      </c>
      <c r="G239" t="inlineStr">
        <is>
          <t>Normal</t>
        </is>
      </c>
    </row>
    <row r="240">
      <c r="A240" s="6" t="n">
        <v>45644</v>
      </c>
      <c r="B240" t="inlineStr">
        <is>
          <t>Hard Currency</t>
        </is>
      </c>
      <c r="C240" s="9" t="n">
        <v>-0.00134</v>
      </c>
      <c r="D240" s="12" t="n">
        <v>1022.91</v>
      </c>
      <c r="E240" s="15" t="n">
        <v>0.004894</v>
      </c>
      <c r="F240" s="18" t="n">
        <v>-0.00134</v>
      </c>
      <c r="G240" t="inlineStr">
        <is>
          <t>Rate Shock</t>
        </is>
      </c>
    </row>
    <row r="241">
      <c r="A241" s="6" t="n">
        <v>45644</v>
      </c>
      <c r="B241" t="inlineStr">
        <is>
          <t>Local Currency</t>
        </is>
      </c>
      <c r="C241" s="9" t="n">
        <v>-0.005362</v>
      </c>
      <c r="D241" s="12" t="n">
        <v>1003.4</v>
      </c>
      <c r="E241" s="15" t="n">
        <v>0.004614</v>
      </c>
      <c r="F241" s="18" t="n">
        <v>-0.005362</v>
      </c>
      <c r="G241" t="inlineStr">
        <is>
          <t>Rate Shock</t>
        </is>
      </c>
    </row>
    <row r="242">
      <c r="A242" s="6" t="n">
        <v>45645</v>
      </c>
      <c r="B242" t="inlineStr">
        <is>
          <t>Hard Currency</t>
        </is>
      </c>
      <c r="C242" s="9" t="n">
        <v>-0.004997</v>
      </c>
      <c r="D242" s="12" t="n">
        <v>1017.79</v>
      </c>
      <c r="E242" s="15" t="n">
        <v>0.005006</v>
      </c>
      <c r="F242" s="18" t="n">
        <v>-0.004997</v>
      </c>
      <c r="G242" t="inlineStr">
        <is>
          <t>Normal</t>
        </is>
      </c>
    </row>
    <row r="243">
      <c r="A243" s="6" t="n">
        <v>45645</v>
      </c>
      <c r="B243" t="inlineStr">
        <is>
          <t>Local Currency</t>
        </is>
      </c>
      <c r="C243" s="9" t="n">
        <v>-0.002926</v>
      </c>
      <c r="D243" s="12" t="n">
        <v>1000.46</v>
      </c>
      <c r="E243" s="15" t="n">
        <v>0.004614</v>
      </c>
      <c r="F243" s="18" t="n">
        <v>-0.002926</v>
      </c>
      <c r="G243" t="inlineStr">
        <is>
          <t>Normal</t>
        </is>
      </c>
    </row>
    <row r="244">
      <c r="A244" s="6" t="n">
        <v>45646</v>
      </c>
      <c r="B244" t="inlineStr">
        <is>
          <t>Hard Currency</t>
        </is>
      </c>
      <c r="C244" s="9" t="n">
        <v>0.0028</v>
      </c>
      <c r="D244" s="12" t="n">
        <v>1020.64</v>
      </c>
      <c r="E244" s="15" t="n">
        <v>0.005006</v>
      </c>
      <c r="F244" s="18" t="n">
        <v>0.0028</v>
      </c>
      <c r="G244" t="inlineStr">
        <is>
          <t>Rate Shock</t>
        </is>
      </c>
    </row>
    <row r="245">
      <c r="A245" s="6" t="n">
        <v>45646</v>
      </c>
      <c r="B245" t="inlineStr">
        <is>
          <t>Local Currency</t>
        </is>
      </c>
      <c r="C245" s="9" t="n">
        <v>0.005828</v>
      </c>
      <c r="D245" s="12" t="n">
        <v>1006.29</v>
      </c>
      <c r="E245" s="15" t="n">
        <v>0.004614</v>
      </c>
      <c r="F245" s="18" t="n">
        <v>0.005828</v>
      </c>
      <c r="G245" t="inlineStr">
        <is>
          <t>Rate Shock</t>
        </is>
      </c>
    </row>
    <row r="246">
      <c r="A246" s="6" t="n">
        <v>45656</v>
      </c>
      <c r="B246" t="inlineStr">
        <is>
          <t>Local Currency</t>
        </is>
      </c>
      <c r="C246" s="9" t="n">
        <v>-0.002777</v>
      </c>
      <c r="D246" s="12" t="n">
        <v>1003.5</v>
      </c>
      <c r="E246" s="15" t="n">
        <v>0.004614</v>
      </c>
      <c r="F246" s="18" t="n">
        <v>-0.002777</v>
      </c>
      <c r="G246" t="inlineStr">
        <is>
          <t>Rate Shock</t>
        </is>
      </c>
    </row>
    <row r="247">
      <c r="A247" s="6" t="n">
        <v>45660</v>
      </c>
      <c r="B247" t="inlineStr">
        <is>
          <t>Hard Currency</t>
        </is>
      </c>
      <c r="C247" s="9" t="n">
        <v>-0.00047</v>
      </c>
      <c r="D247" s="12" t="n">
        <v>1020.16</v>
      </c>
      <c r="E247" s="15" t="n">
        <v>0.005006</v>
      </c>
      <c r="F247" s="18" t="n">
        <v>-0.00047</v>
      </c>
      <c r="G247" t="inlineStr">
        <is>
          <t>Normal</t>
        </is>
      </c>
    </row>
    <row r="248">
      <c r="A248" s="6" t="n">
        <v>45660</v>
      </c>
      <c r="B248" t="inlineStr">
        <is>
          <t>Local Currency</t>
        </is>
      </c>
      <c r="C248" s="9" t="n">
        <v>0.000974</v>
      </c>
      <c r="D248" s="12" t="n">
        <v>1004.47</v>
      </c>
      <c r="E248" s="15" t="n">
        <v>0.004559</v>
      </c>
      <c r="F248" s="18" t="n">
        <v>0.000974</v>
      </c>
      <c r="G248" t="inlineStr">
        <is>
          <t>Normal</t>
        </is>
      </c>
    </row>
    <row r="249">
      <c r="A249" s="6" t="n">
        <v>45665</v>
      </c>
      <c r="B249" t="inlineStr">
        <is>
          <t>Hard Currency</t>
        </is>
      </c>
      <c r="C249" s="9" t="n">
        <v>-0.000665</v>
      </c>
      <c r="D249" s="12" t="n">
        <v>1019.49</v>
      </c>
      <c r="E249" s="15" t="n">
        <v>0.005006</v>
      </c>
      <c r="F249" s="18" t="n">
        <v>-0.000665</v>
      </c>
      <c r="G249" t="inlineStr">
        <is>
          <t>Normal</t>
        </is>
      </c>
    </row>
    <row r="250">
      <c r="A250" s="6" t="n">
        <v>45665</v>
      </c>
      <c r="B250" t="inlineStr">
        <is>
          <t>Local Currency</t>
        </is>
      </c>
      <c r="C250" s="9" t="n">
        <v>-0.000481</v>
      </c>
      <c r="D250" s="12" t="n">
        <v>1003.99</v>
      </c>
      <c r="E250" s="15" t="n">
        <v>0.004559</v>
      </c>
      <c r="F250" s="18" t="n">
        <v>-0.000481</v>
      </c>
      <c r="G250" t="inlineStr">
        <is>
          <t>Normal</t>
        </is>
      </c>
    </row>
    <row r="251">
      <c r="A251" s="6" t="n">
        <v>45666</v>
      </c>
      <c r="B251" t="inlineStr">
        <is>
          <t>Hard Currency</t>
        </is>
      </c>
      <c r="C251" s="9" t="n">
        <v>0.000574</v>
      </c>
      <c r="D251" s="12" t="n">
        <v>1020.07</v>
      </c>
      <c r="E251" s="15" t="n">
        <v>0.005006</v>
      </c>
      <c r="F251" s="18" t="n">
        <v>0.000574</v>
      </c>
      <c r="G251" t="inlineStr">
        <is>
          <t>Normal</t>
        </is>
      </c>
    </row>
    <row r="252">
      <c r="A252" s="6" t="n">
        <v>45666</v>
      </c>
      <c r="B252" t="inlineStr">
        <is>
          <t>Local Currency</t>
        </is>
      </c>
      <c r="C252" s="9" t="n">
        <v>0.0005820000000000001</v>
      </c>
      <c r="D252" s="12" t="n">
        <v>1004.58</v>
      </c>
      <c r="E252" s="15" t="n">
        <v>0.004559</v>
      </c>
      <c r="F252" s="18" t="n">
        <v>0.0005820000000000001</v>
      </c>
      <c r="G252" t="inlineStr">
        <is>
          <t>Normal</t>
        </is>
      </c>
    </row>
    <row r="253">
      <c r="A253" s="6" t="n">
        <v>45667</v>
      </c>
      <c r="B253" t="inlineStr">
        <is>
          <t>Hard Currency</t>
        </is>
      </c>
      <c r="C253" s="9" t="n">
        <v>-0.005846</v>
      </c>
      <c r="D253" s="12" t="n">
        <v>1014.11</v>
      </c>
      <c r="E253" s="15" t="n">
        <v>0.005019</v>
      </c>
      <c r="F253" s="18" t="n">
        <v>-0.005846</v>
      </c>
      <c r="G253" t="inlineStr">
        <is>
          <t>Normal</t>
        </is>
      </c>
    </row>
    <row r="254">
      <c r="A254" s="6" t="n">
        <v>45667</v>
      </c>
      <c r="B254" t="inlineStr">
        <is>
          <t>Local Currency</t>
        </is>
      </c>
      <c r="C254" s="9" t="n">
        <v>-0.006942</v>
      </c>
      <c r="D254" s="12" t="n">
        <v>997.6</v>
      </c>
      <c r="E254" s="15" t="n">
        <v>0.004614</v>
      </c>
      <c r="F254" s="18" t="n">
        <v>-0.006942</v>
      </c>
      <c r="G254" t="inlineStr">
        <is>
          <t>Normal</t>
        </is>
      </c>
    </row>
    <row r="255">
      <c r="A255" s="6" t="n">
        <v>45670</v>
      </c>
      <c r="B255" t="inlineStr">
        <is>
          <t>Local Currency</t>
        </is>
      </c>
      <c r="C255" s="9" t="n">
        <v>-0.001867</v>
      </c>
      <c r="D255" s="12" t="n">
        <v>995.74</v>
      </c>
      <c r="E255" s="15" t="n">
        <v>0.004614</v>
      </c>
      <c r="F255" s="18" t="n">
        <v>-0.001867</v>
      </c>
      <c r="G255" t="inlineStr">
        <is>
          <t>Normal</t>
        </is>
      </c>
    </row>
    <row r="256">
      <c r="A256" s="6" t="n">
        <v>45671</v>
      </c>
      <c r="B256" t="inlineStr">
        <is>
          <t>Local Currency</t>
        </is>
      </c>
      <c r="C256" s="9" t="n">
        <v>0.000995</v>
      </c>
      <c r="D256" s="12" t="n">
        <v>996.73</v>
      </c>
      <c r="E256" s="15" t="n">
        <v>0.004614</v>
      </c>
      <c r="F256" s="18" t="n">
        <v>0.000995</v>
      </c>
      <c r="G256" t="inlineStr">
        <is>
          <t>Normal</t>
        </is>
      </c>
    </row>
    <row r="257">
      <c r="A257" s="6" t="n">
        <v>45672</v>
      </c>
      <c r="B257" t="inlineStr">
        <is>
          <t>Hard Currency</t>
        </is>
      </c>
      <c r="C257" s="9" t="n">
        <v>0.002963</v>
      </c>
      <c r="D257" s="12" t="n">
        <v>1017.11</v>
      </c>
      <c r="E257" s="15" t="n">
        <v>0.005019</v>
      </c>
      <c r="F257" s="18" t="n">
        <v>0.002963</v>
      </c>
      <c r="G257" t="inlineStr">
        <is>
          <t>Normal</t>
        </is>
      </c>
    </row>
    <row r="258">
      <c r="A258" s="6" t="n">
        <v>45672</v>
      </c>
      <c r="B258" t="inlineStr">
        <is>
          <t>Local Currency</t>
        </is>
      </c>
      <c r="C258" s="9" t="n">
        <v>0.005896</v>
      </c>
      <c r="D258" s="12" t="n">
        <v>1002.61</v>
      </c>
      <c r="E258" s="15" t="n">
        <v>0.004614</v>
      </c>
      <c r="F258" s="18" t="n">
        <v>0.005896</v>
      </c>
      <c r="G258" t="inlineStr">
        <is>
          <t>Normal</t>
        </is>
      </c>
    </row>
    <row r="259">
      <c r="A259" s="6" t="n">
        <v>45673</v>
      </c>
      <c r="B259" t="inlineStr">
        <is>
          <t>Hard Currency</t>
        </is>
      </c>
      <c r="C259" s="9" t="n">
        <v>0.002984</v>
      </c>
      <c r="D259" s="12" t="n">
        <v>1020.15</v>
      </c>
      <c r="E259" s="15" t="n">
        <v>0.005019</v>
      </c>
      <c r="F259" s="18" t="n">
        <v>0.002984</v>
      </c>
      <c r="G259" t="inlineStr">
        <is>
          <t>Normal</t>
        </is>
      </c>
    </row>
    <row r="260">
      <c r="A260" s="6" t="n">
        <v>45673</v>
      </c>
      <c r="B260" t="inlineStr">
        <is>
          <t>Local Currency</t>
        </is>
      </c>
      <c r="C260" s="9" t="n">
        <v>0.00012</v>
      </c>
      <c r="D260" s="12" t="n">
        <v>1002.73</v>
      </c>
      <c r="E260" s="15" t="n">
        <v>0.004614</v>
      </c>
      <c r="F260" s="18" t="n">
        <v>0.00012</v>
      </c>
      <c r="G260" t="inlineStr">
        <is>
          <t>Normal</t>
        </is>
      </c>
    </row>
    <row r="261">
      <c r="A261" s="6" t="n">
        <v>45674</v>
      </c>
      <c r="B261" t="inlineStr">
        <is>
          <t>Hard Currency</t>
        </is>
      </c>
      <c r="C261" s="9" t="n">
        <v>-0.000513</v>
      </c>
      <c r="D261" s="12" t="n">
        <v>1019.62</v>
      </c>
      <c r="E261" s="15" t="n">
        <v>0.005019</v>
      </c>
      <c r="F261" s="18" t="n">
        <v>-0.000513</v>
      </c>
      <c r="G261" t="inlineStr">
        <is>
          <t>Normal</t>
        </is>
      </c>
    </row>
    <row r="262">
      <c r="A262" s="6" t="n">
        <v>45674</v>
      </c>
      <c r="B262" t="inlineStr">
        <is>
          <t>Local Currency</t>
        </is>
      </c>
      <c r="C262" s="9" t="n">
        <v>-0.002207</v>
      </c>
      <c r="D262" s="12" t="n">
        <v>1000.51</v>
      </c>
      <c r="E262" s="15" t="n">
        <v>0.004614</v>
      </c>
      <c r="F262" s="18" t="n">
        <v>-0.002207</v>
      </c>
      <c r="G262" t="inlineStr">
        <is>
          <t>Normal</t>
        </is>
      </c>
    </row>
    <row r="263">
      <c r="A263" s="6" t="n">
        <v>45679</v>
      </c>
      <c r="B263" t="inlineStr">
        <is>
          <t>Hard Currency</t>
        </is>
      </c>
      <c r="C263" s="9" t="n">
        <v>0.005436</v>
      </c>
      <c r="D263" s="12" t="n">
        <v>1025.17</v>
      </c>
      <c r="E263" s="15" t="n">
        <v>0.005019</v>
      </c>
      <c r="F263" s="18" t="n">
        <v>0.005436</v>
      </c>
      <c r="G263" t="inlineStr">
        <is>
          <t>Normal</t>
        </is>
      </c>
    </row>
    <row r="264">
      <c r="A264" s="6" t="n">
        <v>45679</v>
      </c>
      <c r="B264" t="inlineStr">
        <is>
          <t>Local Currency</t>
        </is>
      </c>
      <c r="C264" s="9" t="n">
        <v>0.005233</v>
      </c>
      <c r="D264" s="12" t="n">
        <v>1005.75</v>
      </c>
      <c r="E264" s="15" t="n">
        <v>0.004614</v>
      </c>
      <c r="F264" s="18" t="n">
        <v>0.005233</v>
      </c>
      <c r="G264" t="inlineStr">
        <is>
          <t>Normal</t>
        </is>
      </c>
    </row>
    <row r="265">
      <c r="A265" s="6" t="n">
        <v>45680</v>
      </c>
      <c r="B265" t="inlineStr">
        <is>
          <t>Hard Currency</t>
        </is>
      </c>
      <c r="C265" s="9" t="n">
        <v>-5.4e-05</v>
      </c>
      <c r="D265" s="12" t="n">
        <v>1025.11</v>
      </c>
      <c r="E265" s="15" t="n">
        <v>0.005019</v>
      </c>
      <c r="F265" s="18" t="n">
        <v>-5.4e-05</v>
      </c>
      <c r="G265" t="inlineStr">
        <is>
          <t>Normal</t>
        </is>
      </c>
    </row>
    <row r="266">
      <c r="A266" s="6" t="n">
        <v>45680</v>
      </c>
      <c r="B266" t="inlineStr">
        <is>
          <t>Local Currency</t>
        </is>
      </c>
      <c r="C266" s="9" t="n">
        <v>-0.002939</v>
      </c>
      <c r="D266" s="12" t="n">
        <v>1002.79</v>
      </c>
      <c r="E266" s="15" t="n">
        <v>0.004614</v>
      </c>
      <c r="F266" s="18" t="n">
        <v>-0.002939</v>
      </c>
      <c r="G266" t="inlineStr">
        <is>
          <t>Normal</t>
        </is>
      </c>
    </row>
    <row r="267">
      <c r="A267" s="6" t="n">
        <v>45684</v>
      </c>
      <c r="B267" t="inlineStr">
        <is>
          <t>Hard Currency</t>
        </is>
      </c>
      <c r="C267" s="9" t="n">
        <v>-0.001729</v>
      </c>
      <c r="D267" s="12" t="n">
        <v>1023.34</v>
      </c>
      <c r="E267" s="15" t="n">
        <v>0.005019</v>
      </c>
      <c r="F267" s="18" t="n">
        <v>-0.001729</v>
      </c>
      <c r="G267" t="inlineStr">
        <is>
          <t>Normal</t>
        </is>
      </c>
    </row>
    <row r="268">
      <c r="A268" s="6" t="n">
        <v>45684</v>
      </c>
      <c r="B268" t="inlineStr">
        <is>
          <t>Local Currency</t>
        </is>
      </c>
      <c r="C268" s="9" t="n">
        <v>0.000564</v>
      </c>
      <c r="D268" s="12" t="n">
        <v>1003.36</v>
      </c>
      <c r="E268" s="15" t="n">
        <v>0.004614</v>
      </c>
      <c r="F268" s="18" t="n">
        <v>0.000564</v>
      </c>
      <c r="G268" t="inlineStr">
        <is>
          <t>Normal</t>
        </is>
      </c>
    </row>
    <row r="269">
      <c r="A269" s="6" t="n">
        <v>45685</v>
      </c>
      <c r="B269" t="inlineStr">
        <is>
          <t>Hard Currency</t>
        </is>
      </c>
      <c r="C269" s="9" t="n">
        <v>0.00071</v>
      </c>
      <c r="D269" s="12" t="n">
        <v>1024.07</v>
      </c>
      <c r="E269" s="15" t="n">
        <v>0.005019</v>
      </c>
      <c r="F269" s="18" t="n">
        <v>0.00071</v>
      </c>
      <c r="G269" t="inlineStr">
        <is>
          <t>Normal</t>
        </is>
      </c>
    </row>
    <row r="270">
      <c r="A270" s="6" t="n">
        <v>45685</v>
      </c>
      <c r="B270" t="inlineStr">
        <is>
          <t>Local Currency</t>
        </is>
      </c>
      <c r="C270" s="9" t="n">
        <v>0.002648</v>
      </c>
      <c r="D270" s="12" t="n">
        <v>1006.02</v>
      </c>
      <c r="E270" s="15" t="n">
        <v>0.004614</v>
      </c>
      <c r="F270" s="18" t="n">
        <v>0.002648</v>
      </c>
      <c r="G270" t="inlineStr">
        <is>
          <t>Normal</t>
        </is>
      </c>
    </row>
    <row r="271">
      <c r="A271" s="6" t="n">
        <v>45686</v>
      </c>
      <c r="B271" t="inlineStr">
        <is>
          <t>Hard Currency</t>
        </is>
      </c>
      <c r="C271" s="9" t="n">
        <v>0.001232</v>
      </c>
      <c r="D271" s="12" t="n">
        <v>1025.33</v>
      </c>
      <c r="E271" s="15" t="n">
        <v>0.005019</v>
      </c>
      <c r="F271" s="18" t="n">
        <v>0.001232</v>
      </c>
      <c r="G271" t="inlineStr">
        <is>
          <t>Normal</t>
        </is>
      </c>
    </row>
    <row r="272">
      <c r="A272" s="6" t="n">
        <v>45686</v>
      </c>
      <c r="B272" t="inlineStr">
        <is>
          <t>Local Currency</t>
        </is>
      </c>
      <c r="C272" s="9" t="n">
        <v>-0.000748</v>
      </c>
      <c r="D272" s="12" t="n">
        <v>1005.26</v>
      </c>
      <c r="E272" s="15" t="n">
        <v>0.004614</v>
      </c>
      <c r="F272" s="18" t="n">
        <v>-0.000748</v>
      </c>
      <c r="G272" t="inlineStr">
        <is>
          <t>Normal</t>
        </is>
      </c>
    </row>
    <row r="273">
      <c r="A273" s="6" t="n">
        <v>45687</v>
      </c>
      <c r="B273" t="inlineStr">
        <is>
          <t>Hard Currency</t>
        </is>
      </c>
      <c r="C273" s="9" t="n">
        <v>-0.00026</v>
      </c>
      <c r="D273" s="12" t="n">
        <v>1025.06</v>
      </c>
      <c r="E273" s="15" t="n">
        <v>0.005019</v>
      </c>
      <c r="F273" s="18" t="n">
        <v>-0.00026</v>
      </c>
      <c r="G273" t="inlineStr">
        <is>
          <t>EM Crisis</t>
        </is>
      </c>
    </row>
    <row r="274">
      <c r="A274" s="6" t="n">
        <v>45687</v>
      </c>
      <c r="B274" t="inlineStr">
        <is>
          <t>Local Currency</t>
        </is>
      </c>
      <c r="C274" s="9" t="n">
        <v>-0.004122</v>
      </c>
      <c r="D274" s="12" t="n">
        <v>1001.12</v>
      </c>
      <c r="E274" s="15" t="n">
        <v>0.004614</v>
      </c>
      <c r="F274" s="18" t="n">
        <v>-0.004122</v>
      </c>
      <c r="G274" t="inlineStr">
        <is>
          <t>EM Crisis</t>
        </is>
      </c>
    </row>
    <row r="275">
      <c r="A275" s="6" t="n">
        <v>45688</v>
      </c>
      <c r="B275" t="inlineStr">
        <is>
          <t>Hard Currency</t>
        </is>
      </c>
      <c r="C275" s="9" t="n">
        <v>-0.000892</v>
      </c>
      <c r="D275" s="12" t="n">
        <v>1024.15</v>
      </c>
      <c r="E275" s="15" t="n">
        <v>0.005019</v>
      </c>
      <c r="F275" s="18" t="n">
        <v>-0.000892</v>
      </c>
      <c r="G275" t="inlineStr">
        <is>
          <t>Normal</t>
        </is>
      </c>
    </row>
    <row r="276">
      <c r="A276" s="6" t="n">
        <v>45688</v>
      </c>
      <c r="B276" t="inlineStr">
        <is>
          <t>Local Currency</t>
        </is>
      </c>
      <c r="C276" s="9" t="n">
        <v>0.0008720000000000001</v>
      </c>
      <c r="D276" s="12" t="n">
        <v>1001.99</v>
      </c>
      <c r="E276" s="15" t="n">
        <v>0.004614</v>
      </c>
      <c r="F276" s="18" t="n">
        <v>0.0008720000000000001</v>
      </c>
      <c r="G276" t="inlineStr">
        <is>
          <t>Normal</t>
        </is>
      </c>
    </row>
    <row r="277">
      <c r="A277" s="6" t="n">
        <v>45692</v>
      </c>
      <c r="B277" t="inlineStr">
        <is>
          <t>Hard Currency</t>
        </is>
      </c>
      <c r="C277" s="9" t="n">
        <v>0.003725</v>
      </c>
      <c r="D277" s="12" t="n">
        <v>1027.96</v>
      </c>
      <c r="E277" s="15" t="n">
        <v>0.005019</v>
      </c>
      <c r="F277" s="18" t="n">
        <v>0.003725</v>
      </c>
      <c r="G277" t="inlineStr">
        <is>
          <t>Normal</t>
        </is>
      </c>
    </row>
    <row r="278">
      <c r="A278" s="6" t="n">
        <v>45692</v>
      </c>
      <c r="B278" t="inlineStr">
        <is>
          <t>Local Currency</t>
        </is>
      </c>
      <c r="C278" s="9" t="n">
        <v>0.003874</v>
      </c>
      <c r="D278" s="12" t="n">
        <v>1005.88</v>
      </c>
      <c r="E278" s="15" t="n">
        <v>0.004614</v>
      </c>
      <c r="F278" s="18" t="n">
        <v>0.003874</v>
      </c>
      <c r="G278" t="inlineStr">
        <is>
          <t>Normal</t>
        </is>
      </c>
    </row>
    <row r="279">
      <c r="A279" s="6" t="n">
        <v>45693</v>
      </c>
      <c r="B279" t="inlineStr">
        <is>
          <t>Hard Currency</t>
        </is>
      </c>
      <c r="C279" s="9" t="n">
        <v>0.001937</v>
      </c>
      <c r="D279" s="12" t="n">
        <v>1029.95</v>
      </c>
      <c r="E279" s="15" t="n">
        <v>0.005019</v>
      </c>
      <c r="F279" s="18" t="n">
        <v>0.001937</v>
      </c>
      <c r="G279" t="inlineStr">
        <is>
          <t>Normal</t>
        </is>
      </c>
    </row>
    <row r="280">
      <c r="A280" s="6" t="n">
        <v>45693</v>
      </c>
      <c r="B280" t="inlineStr">
        <is>
          <t>Local Currency</t>
        </is>
      </c>
      <c r="C280" s="9" t="n">
        <v>-4.1e-05</v>
      </c>
      <c r="D280" s="12" t="n">
        <v>1005.83</v>
      </c>
      <c r="E280" s="15" t="n">
        <v>0.004614</v>
      </c>
      <c r="F280" s="18" t="n">
        <v>-4.1e-05</v>
      </c>
      <c r="G280" t="inlineStr">
        <is>
          <t>Normal</t>
        </is>
      </c>
    </row>
    <row r="281">
      <c r="A281" s="6" t="n">
        <v>45694</v>
      </c>
      <c r="B281" t="inlineStr">
        <is>
          <t>Hard Currency</t>
        </is>
      </c>
      <c r="C281" s="9" t="n">
        <v>0.000623</v>
      </c>
      <c r="D281" s="12" t="n">
        <v>1030.59</v>
      </c>
      <c r="E281" s="15" t="n">
        <v>0.005019</v>
      </c>
      <c r="F281" s="18" t="n">
        <v>0.000623</v>
      </c>
      <c r="G281" t="inlineStr">
        <is>
          <t>Normal</t>
        </is>
      </c>
    </row>
    <row r="282">
      <c r="A282" s="6" t="n">
        <v>45694</v>
      </c>
      <c r="B282" t="inlineStr">
        <is>
          <t>Local Currency</t>
        </is>
      </c>
      <c r="C282" s="9" t="n">
        <v>-0.000142</v>
      </c>
      <c r="D282" s="12" t="n">
        <v>1005.69</v>
      </c>
      <c r="E282" s="15" t="n">
        <v>0.004559</v>
      </c>
      <c r="F282" s="18" t="n">
        <v>-0.000142</v>
      </c>
      <c r="G282" t="inlineStr">
        <is>
          <t>Normal</t>
        </is>
      </c>
    </row>
    <row r="283">
      <c r="A283" s="6" t="n">
        <v>45695</v>
      </c>
      <c r="B283" t="inlineStr">
        <is>
          <t>Hard Currency</t>
        </is>
      </c>
      <c r="C283" s="9" t="n">
        <v>0.001915</v>
      </c>
      <c r="D283" s="12" t="n">
        <v>1032.57</v>
      </c>
      <c r="E283" s="15" t="n">
        <v>0.005019</v>
      </c>
      <c r="F283" s="18" t="n">
        <v>0.001915</v>
      </c>
      <c r="G283" t="inlineStr">
        <is>
          <t>Normal</t>
        </is>
      </c>
    </row>
    <row r="284">
      <c r="A284" s="6" t="n">
        <v>45695</v>
      </c>
      <c r="B284" t="inlineStr">
        <is>
          <t>Local Currency</t>
        </is>
      </c>
      <c r="C284" s="9" t="n">
        <v>0.000466</v>
      </c>
      <c r="D284" s="12" t="n">
        <v>1006.16</v>
      </c>
      <c r="E284" s="15" t="n">
        <v>0.004559</v>
      </c>
      <c r="F284" s="18" t="n">
        <v>0.000466</v>
      </c>
      <c r="G284" t="inlineStr">
        <is>
          <t>Normal</t>
        </is>
      </c>
    </row>
    <row r="285">
      <c r="A285" s="6" t="n">
        <v>45698</v>
      </c>
      <c r="B285" t="inlineStr">
        <is>
          <t>Hard Currency</t>
        </is>
      </c>
      <c r="C285" s="9" t="n">
        <v>-0.004317</v>
      </c>
      <c r="D285" s="12" t="n">
        <v>1028.11</v>
      </c>
      <c r="E285" s="15" t="n">
        <v>0.005006</v>
      </c>
      <c r="F285" s="18" t="n">
        <v>-0.004317</v>
      </c>
      <c r="G285" t="inlineStr">
        <is>
          <t>Normal</t>
        </is>
      </c>
    </row>
    <row r="286">
      <c r="A286" s="6" t="n">
        <v>45698</v>
      </c>
      <c r="B286" t="inlineStr">
        <is>
          <t>Local Currency</t>
        </is>
      </c>
      <c r="C286" s="9" t="n">
        <v>-0.002397</v>
      </c>
      <c r="D286" s="12" t="n">
        <v>1003.75</v>
      </c>
      <c r="E286" s="15" t="n">
        <v>0.004559</v>
      </c>
      <c r="F286" s="18" t="n">
        <v>-0.002397</v>
      </c>
      <c r="G286" t="inlineStr">
        <is>
          <t>Normal</t>
        </is>
      </c>
    </row>
    <row r="287">
      <c r="A287" s="6" t="n">
        <v>45699</v>
      </c>
      <c r="B287" t="inlineStr">
        <is>
          <t>Hard Currency</t>
        </is>
      </c>
      <c r="C287" s="9" t="n">
        <v>-0.002774</v>
      </c>
      <c r="D287" s="12" t="n">
        <v>1025.26</v>
      </c>
      <c r="E287" s="15" t="n">
        <v>0.005006</v>
      </c>
      <c r="F287" s="18" t="n">
        <v>-0.002774</v>
      </c>
      <c r="G287" t="inlineStr">
        <is>
          <t>Normal</t>
        </is>
      </c>
    </row>
    <row r="288">
      <c r="A288" s="6" t="n">
        <v>45699</v>
      </c>
      <c r="B288" t="inlineStr">
        <is>
          <t>Local Currency</t>
        </is>
      </c>
      <c r="C288" s="9" t="n">
        <v>-0.001915</v>
      </c>
      <c r="D288" s="12" t="n">
        <v>1001.83</v>
      </c>
      <c r="E288" s="15" t="n">
        <v>0.004481</v>
      </c>
      <c r="F288" s="18" t="n">
        <v>-0.001915</v>
      </c>
      <c r="G288" t="inlineStr">
        <is>
          <t>Normal</t>
        </is>
      </c>
    </row>
    <row r="289">
      <c r="A289" s="6" t="n">
        <v>45702</v>
      </c>
      <c r="B289" t="inlineStr">
        <is>
          <t>Hard Currency</t>
        </is>
      </c>
      <c r="C289" s="9" t="n">
        <v>0.002925</v>
      </c>
      <c r="D289" s="12" t="n">
        <v>1028.26</v>
      </c>
      <c r="E289" s="15" t="n">
        <v>0.005006</v>
      </c>
      <c r="F289" s="18" t="n">
        <v>0.002925</v>
      </c>
      <c r="G289" t="inlineStr">
        <is>
          <t>Normal</t>
        </is>
      </c>
    </row>
    <row r="290">
      <c r="A290" s="6" t="n">
        <v>45702</v>
      </c>
      <c r="B290" t="inlineStr">
        <is>
          <t>Local Currency</t>
        </is>
      </c>
      <c r="C290" s="9" t="n">
        <v>0.004995</v>
      </c>
      <c r="D290" s="12" t="n">
        <v>1006.83</v>
      </c>
      <c r="E290" s="15" t="n">
        <v>0.004481</v>
      </c>
      <c r="F290" s="18" t="n">
        <v>0.004995</v>
      </c>
      <c r="G290" t="inlineStr">
        <is>
          <t>Normal</t>
        </is>
      </c>
    </row>
    <row r="291">
      <c r="A291" s="6" t="n">
        <v>45705</v>
      </c>
      <c r="B291" t="inlineStr">
        <is>
          <t>Hard Currency</t>
        </is>
      </c>
      <c r="C291" s="9" t="n">
        <v>0.001127</v>
      </c>
      <c r="D291" s="12" t="n">
        <v>1029.42</v>
      </c>
      <c r="E291" s="15" t="n">
        <v>0.005006</v>
      </c>
      <c r="F291" s="18" t="n">
        <v>0.001127</v>
      </c>
      <c r="G291" t="inlineStr">
        <is>
          <t>Normal</t>
        </is>
      </c>
    </row>
    <row r="292">
      <c r="A292" s="6" t="n">
        <v>45705</v>
      </c>
      <c r="B292" t="inlineStr">
        <is>
          <t>Local Currency</t>
        </is>
      </c>
      <c r="C292" s="9" t="n">
        <v>0.002907</v>
      </c>
      <c r="D292" s="12" t="n">
        <v>1009.76</v>
      </c>
      <c r="E292" s="15" t="n">
        <v>0.004481</v>
      </c>
      <c r="F292" s="18" t="n">
        <v>0.002907</v>
      </c>
      <c r="G292" t="inlineStr">
        <is>
          <t>Normal</t>
        </is>
      </c>
    </row>
    <row r="293">
      <c r="A293" s="6" t="n">
        <v>45706</v>
      </c>
      <c r="B293" t="inlineStr">
        <is>
          <t>Hard Currency</t>
        </is>
      </c>
      <c r="C293" s="9" t="n">
        <v>0.000237</v>
      </c>
      <c r="D293" s="12" t="n">
        <v>1029.66</v>
      </c>
      <c r="E293" s="15" t="n">
        <v>0.005006</v>
      </c>
      <c r="F293" s="18" t="n">
        <v>0.000237</v>
      </c>
      <c r="G293" t="inlineStr">
        <is>
          <t>Normal</t>
        </is>
      </c>
    </row>
    <row r="294">
      <c r="A294" s="6" t="n">
        <v>45706</v>
      </c>
      <c r="B294" t="inlineStr">
        <is>
          <t>Local Currency</t>
        </is>
      </c>
      <c r="C294" s="9" t="n">
        <v>0.0009210000000000001</v>
      </c>
      <c r="D294" s="12" t="n">
        <v>1010.69</v>
      </c>
      <c r="E294" s="15" t="n">
        <v>0.004481</v>
      </c>
      <c r="F294" s="18" t="n">
        <v>0.0009210000000000001</v>
      </c>
      <c r="G294" t="inlineStr">
        <is>
          <t>Normal</t>
        </is>
      </c>
    </row>
    <row r="295">
      <c r="A295" s="6" t="n">
        <v>45707</v>
      </c>
      <c r="B295" t="inlineStr">
        <is>
          <t>Hard Currency</t>
        </is>
      </c>
      <c r="C295" s="9" t="n">
        <v>-0.001346</v>
      </c>
      <c r="D295" s="12" t="n">
        <v>1028.27</v>
      </c>
      <c r="E295" s="15" t="n">
        <v>0.005006</v>
      </c>
      <c r="F295" s="18" t="n">
        <v>-0.001346</v>
      </c>
      <c r="G295" t="inlineStr">
        <is>
          <t>Normal</t>
        </is>
      </c>
    </row>
    <row r="296">
      <c r="A296" s="6" t="n">
        <v>45707</v>
      </c>
      <c r="B296" t="inlineStr">
        <is>
          <t>Local Currency</t>
        </is>
      </c>
      <c r="C296" s="9" t="n">
        <v>-0.00332</v>
      </c>
      <c r="D296" s="12" t="n">
        <v>1007.33</v>
      </c>
      <c r="E296" s="15" t="n">
        <v>0.004481</v>
      </c>
      <c r="F296" s="18" t="n">
        <v>-0.00332</v>
      </c>
      <c r="G296" t="inlineStr">
        <is>
          <t>Normal</t>
        </is>
      </c>
    </row>
    <row r="297">
      <c r="A297" s="6" t="n">
        <v>45708</v>
      </c>
      <c r="B297" t="inlineStr">
        <is>
          <t>Hard Currency</t>
        </is>
      </c>
      <c r="C297" s="9" t="n">
        <v>0.000374</v>
      </c>
      <c r="D297" s="12" t="n">
        <v>1028.66</v>
      </c>
      <c r="E297" s="15" t="n">
        <v>0.005006</v>
      </c>
      <c r="F297" s="18" t="n">
        <v>0.000374</v>
      </c>
      <c r="G297" t="inlineStr">
        <is>
          <t>Risk-On</t>
        </is>
      </c>
    </row>
    <row r="298">
      <c r="A298" s="6" t="n">
        <v>45708</v>
      </c>
      <c r="B298" t="inlineStr">
        <is>
          <t>Local Currency</t>
        </is>
      </c>
      <c r="C298" s="9" t="n">
        <v>0.000107</v>
      </c>
      <c r="D298" s="12" t="n">
        <v>1007.44</v>
      </c>
      <c r="E298" s="15" t="n">
        <v>0.004481</v>
      </c>
      <c r="F298" s="18" t="n">
        <v>0.000107</v>
      </c>
      <c r="G298" t="inlineStr">
        <is>
          <t>Risk-On</t>
        </is>
      </c>
    </row>
    <row r="299">
      <c r="A299" s="6" t="n">
        <v>45709</v>
      </c>
      <c r="B299" t="inlineStr">
        <is>
          <t>Hard Currency</t>
        </is>
      </c>
      <c r="C299" s="9" t="n">
        <v>0.002912</v>
      </c>
      <c r="D299" s="12" t="n">
        <v>1031.65</v>
      </c>
      <c r="E299" s="15" t="n">
        <v>0.005006</v>
      </c>
      <c r="F299" s="18" t="n">
        <v>0.002912</v>
      </c>
      <c r="G299" t="inlineStr">
        <is>
          <t>Normal</t>
        </is>
      </c>
    </row>
    <row r="300">
      <c r="A300" s="6" t="n">
        <v>45709</v>
      </c>
      <c r="B300" t="inlineStr">
        <is>
          <t>Local Currency</t>
        </is>
      </c>
      <c r="C300" s="9" t="n">
        <v>0.003408</v>
      </c>
      <c r="D300" s="12" t="n">
        <v>1010.87</v>
      </c>
      <c r="E300" s="15" t="n">
        <v>0.004481</v>
      </c>
      <c r="F300" s="18" t="n">
        <v>0.003408</v>
      </c>
      <c r="G300" t="inlineStr">
        <is>
          <t>Normal</t>
        </is>
      </c>
    </row>
    <row r="301">
      <c r="A301" s="6" t="n">
        <v>45712</v>
      </c>
      <c r="B301" t="inlineStr">
        <is>
          <t>Hard Currency</t>
        </is>
      </c>
      <c r="C301" s="9" t="n">
        <v>-0.000147</v>
      </c>
      <c r="D301" s="12" t="n">
        <v>1031.5</v>
      </c>
      <c r="E301" s="15" t="n">
        <v>0.005006</v>
      </c>
      <c r="F301" s="18" t="n">
        <v>-0.000147</v>
      </c>
      <c r="G301" t="inlineStr">
        <is>
          <t>Risk-On</t>
        </is>
      </c>
    </row>
    <row r="302">
      <c r="A302" s="6" t="n">
        <v>45712</v>
      </c>
      <c r="B302" t="inlineStr">
        <is>
          <t>Local Currency</t>
        </is>
      </c>
      <c r="C302" s="9" t="n">
        <v>0.000348</v>
      </c>
      <c r="D302" s="12" t="n">
        <v>1011.22</v>
      </c>
      <c r="E302" s="15" t="n">
        <v>0.004481</v>
      </c>
      <c r="F302" s="18" t="n">
        <v>0.000348</v>
      </c>
      <c r="G302" t="inlineStr">
        <is>
          <t>Risk-On</t>
        </is>
      </c>
    </row>
    <row r="303">
      <c r="A303" s="6" t="n">
        <v>45714</v>
      </c>
      <c r="B303" t="inlineStr">
        <is>
          <t>Hard Currency</t>
        </is>
      </c>
      <c r="C303" s="9" t="n">
        <v>-0.00157</v>
      </c>
      <c r="D303" s="12" t="n">
        <v>1029.88</v>
      </c>
      <c r="E303" s="15" t="n">
        <v>0.005006</v>
      </c>
      <c r="F303" s="18" t="n">
        <v>-0.00157</v>
      </c>
      <c r="G303" t="inlineStr">
        <is>
          <t>Normal</t>
        </is>
      </c>
    </row>
    <row r="304">
      <c r="A304" s="6" t="n">
        <v>45714</v>
      </c>
      <c r="B304" t="inlineStr">
        <is>
          <t>Local Currency</t>
        </is>
      </c>
      <c r="C304" s="9" t="n">
        <v>-0.002233</v>
      </c>
      <c r="D304" s="12" t="n">
        <v>1008.97</v>
      </c>
      <c r="E304" s="15" t="n">
        <v>0.004481</v>
      </c>
      <c r="F304" s="18" t="n">
        <v>-0.002233</v>
      </c>
      <c r="G304" t="inlineStr">
        <is>
          <t>Normal</t>
        </is>
      </c>
    </row>
    <row r="305">
      <c r="A305" s="6" t="n">
        <v>45721</v>
      </c>
      <c r="B305" t="inlineStr">
        <is>
          <t>Hard Currency</t>
        </is>
      </c>
      <c r="C305" s="9" t="n">
        <v>-0.001673</v>
      </c>
      <c r="D305" s="12" t="n">
        <v>1028.16</v>
      </c>
      <c r="E305" s="15" t="n">
        <v>0.004885</v>
      </c>
      <c r="F305" s="18" t="n">
        <v>-0.001673</v>
      </c>
      <c r="G305" t="inlineStr">
        <is>
          <t>Normal</t>
        </is>
      </c>
    </row>
    <row r="306">
      <c r="A306" s="6" t="n">
        <v>45721</v>
      </c>
      <c r="B306" t="inlineStr">
        <is>
          <t>Local Currency</t>
        </is>
      </c>
      <c r="C306" s="9" t="n">
        <v>0.002454</v>
      </c>
      <c r="D306" s="12" t="n">
        <v>1011.44</v>
      </c>
      <c r="E306" s="15" t="n">
        <v>0.004481</v>
      </c>
      <c r="F306" s="18" t="n">
        <v>0.002454</v>
      </c>
      <c r="G306" t="inlineStr">
        <is>
          <t>Normal</t>
        </is>
      </c>
    </row>
    <row r="307">
      <c r="A307" s="6" t="n">
        <v>45722</v>
      </c>
      <c r="B307" t="inlineStr">
        <is>
          <t>Hard Currency</t>
        </is>
      </c>
      <c r="C307" s="9" t="n">
        <v>-0.002005</v>
      </c>
      <c r="D307" s="12" t="n">
        <v>1026.1</v>
      </c>
      <c r="E307" s="15" t="n">
        <v>0.004885</v>
      </c>
      <c r="F307" s="18" t="n">
        <v>-0.002005</v>
      </c>
      <c r="G307" t="inlineStr">
        <is>
          <t>Normal</t>
        </is>
      </c>
    </row>
    <row r="308">
      <c r="A308" s="6" t="n">
        <v>45722</v>
      </c>
      <c r="B308" t="inlineStr">
        <is>
          <t>Local Currency</t>
        </is>
      </c>
      <c r="C308" s="9" t="n">
        <v>-0.000993</v>
      </c>
      <c r="D308" s="12" t="n">
        <v>1010.44</v>
      </c>
      <c r="E308" s="15" t="n">
        <v>0.004481</v>
      </c>
      <c r="F308" s="18" t="n">
        <v>-0.000993</v>
      </c>
      <c r="G308" t="inlineStr">
        <is>
          <t>Normal</t>
        </is>
      </c>
    </row>
    <row r="309">
      <c r="A309" s="6" t="n">
        <v>45723</v>
      </c>
      <c r="B309" t="inlineStr">
        <is>
          <t>Hard Currency</t>
        </is>
      </c>
      <c r="C309" s="9" t="n">
        <v>0.001625</v>
      </c>
      <c r="D309" s="12" t="n">
        <v>1027.76</v>
      </c>
      <c r="E309" s="15" t="n">
        <v>0.004885</v>
      </c>
      <c r="F309" s="18" t="n">
        <v>0.001625</v>
      </c>
      <c r="G309" t="inlineStr">
        <is>
          <t>Normal</t>
        </is>
      </c>
    </row>
    <row r="310">
      <c r="A310" s="6" t="n">
        <v>45723</v>
      </c>
      <c r="B310" t="inlineStr">
        <is>
          <t>Local Currency</t>
        </is>
      </c>
      <c r="C310" s="9" t="n">
        <v>0.004681</v>
      </c>
      <c r="D310" s="12" t="n">
        <v>1015.17</v>
      </c>
      <c r="E310" s="15" t="n">
        <v>0.004393</v>
      </c>
      <c r="F310" s="18" t="n">
        <v>0.004681</v>
      </c>
      <c r="G310" t="inlineStr">
        <is>
          <t>Normal</t>
        </is>
      </c>
    </row>
    <row r="311">
      <c r="A311" s="6" t="n">
        <v>45726</v>
      </c>
      <c r="B311" t="inlineStr">
        <is>
          <t>Hard Currency</t>
        </is>
      </c>
      <c r="C311" s="9" t="n">
        <v>0.000813</v>
      </c>
      <c r="D311" s="12" t="n">
        <v>1028.6</v>
      </c>
      <c r="E311" s="15" t="n">
        <v>0.004885</v>
      </c>
      <c r="F311" s="18" t="n">
        <v>0.000813</v>
      </c>
      <c r="G311" t="inlineStr">
        <is>
          <t>Risk-On</t>
        </is>
      </c>
    </row>
    <row r="312">
      <c r="A312" s="6" t="n">
        <v>45726</v>
      </c>
      <c r="B312" t="inlineStr">
        <is>
          <t>Local Currency</t>
        </is>
      </c>
      <c r="C312" s="9" t="n">
        <v>0.003106</v>
      </c>
      <c r="D312" s="12" t="n">
        <v>1018.32</v>
      </c>
      <c r="E312" s="15" t="n">
        <v>0.004393</v>
      </c>
      <c r="F312" s="18" t="n">
        <v>0.003106</v>
      </c>
      <c r="G312" t="inlineStr">
        <is>
          <t>Risk-On</t>
        </is>
      </c>
    </row>
    <row r="313">
      <c r="A313" s="6" t="n">
        <v>45727</v>
      </c>
      <c r="B313" t="inlineStr">
        <is>
          <t>Hard Currency</t>
        </is>
      </c>
      <c r="C313" s="9" t="n">
        <v>-0.000692</v>
      </c>
      <c r="D313" s="12" t="n">
        <v>1027.89</v>
      </c>
      <c r="E313" s="15" t="n">
        <v>0.004885</v>
      </c>
      <c r="F313" s="18" t="n">
        <v>-0.000692</v>
      </c>
      <c r="G313" t="inlineStr">
        <is>
          <t>Risk-On</t>
        </is>
      </c>
    </row>
    <row r="314">
      <c r="A314" s="6" t="n">
        <v>45727</v>
      </c>
      <c r="B314" t="inlineStr">
        <is>
          <t>Local Currency</t>
        </is>
      </c>
      <c r="C314" s="9" t="n">
        <v>-0.001182</v>
      </c>
      <c r="D314" s="12" t="n">
        <v>1017.12</v>
      </c>
      <c r="E314" s="15" t="n">
        <v>0.004393</v>
      </c>
      <c r="F314" s="18" t="n">
        <v>-0.001182</v>
      </c>
      <c r="G314" t="inlineStr">
        <is>
          <t>Risk-On</t>
        </is>
      </c>
    </row>
    <row r="315">
      <c r="A315" s="6" t="n">
        <v>45730</v>
      </c>
      <c r="B315" t="inlineStr">
        <is>
          <t>Hard Currency</t>
        </is>
      </c>
      <c r="C315" s="9" t="n">
        <v>0.001361</v>
      </c>
      <c r="D315" s="12" t="n">
        <v>1029.29</v>
      </c>
      <c r="E315" s="15" t="n">
        <v>0.004885</v>
      </c>
      <c r="F315" s="18" t="n">
        <v>0.001361</v>
      </c>
      <c r="G315" t="inlineStr">
        <is>
          <t>Normal</t>
        </is>
      </c>
    </row>
    <row r="316">
      <c r="A316" s="6" t="n">
        <v>45730</v>
      </c>
      <c r="B316" t="inlineStr">
        <is>
          <t>Local Currency</t>
        </is>
      </c>
      <c r="C316" s="9" t="n">
        <v>0.000137</v>
      </c>
      <c r="D316" s="12" t="n">
        <v>1017.26</v>
      </c>
      <c r="E316" s="15" t="n">
        <v>0.004393</v>
      </c>
      <c r="F316" s="18" t="n">
        <v>0.000137</v>
      </c>
      <c r="G316" t="inlineStr">
        <is>
          <t>Normal</t>
        </is>
      </c>
    </row>
    <row r="317">
      <c r="A317" s="6" t="n">
        <v>45734</v>
      </c>
      <c r="B317" t="inlineStr">
        <is>
          <t>Hard Currency</t>
        </is>
      </c>
      <c r="C317" s="9" t="n">
        <v>-0.003336</v>
      </c>
      <c r="D317" s="12" t="n">
        <v>1025.85</v>
      </c>
      <c r="E317" s="15" t="n">
        <v>0.004885</v>
      </c>
      <c r="F317" s="18" t="n">
        <v>-0.003336</v>
      </c>
      <c r="G317" t="inlineStr">
        <is>
          <t>Risk-On</t>
        </is>
      </c>
    </row>
    <row r="318">
      <c r="A318" s="6" t="n">
        <v>45734</v>
      </c>
      <c r="B318" t="inlineStr">
        <is>
          <t>Local Currency</t>
        </is>
      </c>
      <c r="C318" s="9" t="n">
        <v>0.001856</v>
      </c>
      <c r="D318" s="12" t="n">
        <v>1019.14</v>
      </c>
      <c r="E318" s="15" t="n">
        <v>0.004393</v>
      </c>
      <c r="F318" s="18" t="n">
        <v>0.001856</v>
      </c>
      <c r="G318" t="inlineStr">
        <is>
          <t>Risk-On</t>
        </is>
      </c>
    </row>
    <row r="319">
      <c r="A319" s="6" t="n">
        <v>45740</v>
      </c>
      <c r="B319" t="inlineStr">
        <is>
          <t>Local Currency</t>
        </is>
      </c>
      <c r="C319" s="9" t="n">
        <v>-0.002942</v>
      </c>
      <c r="D319" s="12" t="n">
        <v>1016.15</v>
      </c>
      <c r="E319" s="15" t="n">
        <v>0.004393</v>
      </c>
      <c r="F319" s="18" t="n">
        <v>-0.002942</v>
      </c>
      <c r="G319" t="inlineStr">
        <is>
          <t>Risk-On</t>
        </is>
      </c>
    </row>
    <row r="320">
      <c r="A320" s="6" t="n">
        <v>45741</v>
      </c>
      <c r="B320" t="inlineStr">
        <is>
          <t>Hard Currency</t>
        </is>
      </c>
      <c r="C320" s="9" t="n">
        <v>-0.001053</v>
      </c>
      <c r="D320" s="12" t="n">
        <v>1024.77</v>
      </c>
      <c r="E320" s="15" t="n">
        <v>0.004885</v>
      </c>
      <c r="F320" s="18" t="n">
        <v>-0.001053</v>
      </c>
      <c r="G320" t="inlineStr">
        <is>
          <t>Risk-On</t>
        </is>
      </c>
    </row>
    <row r="321">
      <c r="A321" s="6" t="n">
        <v>45741</v>
      </c>
      <c r="B321" t="inlineStr">
        <is>
          <t>Local Currency</t>
        </is>
      </c>
      <c r="C321" s="9" t="n">
        <v>-0.000695</v>
      </c>
      <c r="D321" s="12" t="n">
        <v>1015.44</v>
      </c>
      <c r="E321" s="15" t="n">
        <v>0.004393</v>
      </c>
      <c r="F321" s="18" t="n">
        <v>-0.000695</v>
      </c>
      <c r="G321" t="inlineStr">
        <is>
          <t>Risk-On</t>
        </is>
      </c>
    </row>
    <row r="322">
      <c r="A322" s="6" t="n">
        <v>45742</v>
      </c>
      <c r="B322" t="inlineStr">
        <is>
          <t>Hard Currency</t>
        </is>
      </c>
      <c r="C322" s="9" t="n">
        <v>-0.000745</v>
      </c>
      <c r="D322" s="12" t="n">
        <v>1024.01</v>
      </c>
      <c r="E322" s="15" t="n">
        <v>0.004782</v>
      </c>
      <c r="F322" s="18" t="n">
        <v>-0.000745</v>
      </c>
      <c r="G322" t="inlineStr">
        <is>
          <t>Normal</t>
        </is>
      </c>
    </row>
    <row r="323">
      <c r="A323" s="6" t="n">
        <v>45742</v>
      </c>
      <c r="B323" t="inlineStr">
        <is>
          <t>Local Currency</t>
        </is>
      </c>
      <c r="C323" s="9" t="n">
        <v>-0.00195</v>
      </c>
      <c r="D323" s="12" t="n">
        <v>1013.46</v>
      </c>
      <c r="E323" s="15" t="n">
        <v>0.004393</v>
      </c>
      <c r="F323" s="18" t="n">
        <v>-0.00195</v>
      </c>
      <c r="G323" t="inlineStr">
        <is>
          <t>Normal</t>
        </is>
      </c>
    </row>
    <row r="324">
      <c r="A324" s="6" t="n">
        <v>45743</v>
      </c>
      <c r="B324" t="inlineStr">
        <is>
          <t>Hard Currency</t>
        </is>
      </c>
      <c r="C324" s="9" t="n">
        <v>-0.010768</v>
      </c>
      <c r="D324" s="12" t="n">
        <v>1012.98</v>
      </c>
      <c r="E324" s="15" t="n">
        <v>0.004885</v>
      </c>
      <c r="F324" s="18" t="n">
        <v>-0.010768</v>
      </c>
      <c r="G324" t="inlineStr">
        <is>
          <t>Normal</t>
        </is>
      </c>
    </row>
    <row r="325">
      <c r="A325" s="6" t="n">
        <v>45743</v>
      </c>
      <c r="B325" t="inlineStr">
        <is>
          <t>Local Currency</t>
        </is>
      </c>
      <c r="C325" s="9" t="n">
        <v>0.000314</v>
      </c>
      <c r="D325" s="12" t="n">
        <v>1013.78</v>
      </c>
      <c r="E325" s="15" t="n">
        <v>0.004393</v>
      </c>
      <c r="F325" s="18" t="n">
        <v>0.000314</v>
      </c>
      <c r="G325" t="inlineStr">
        <is>
          <t>Normal</t>
        </is>
      </c>
    </row>
    <row r="326">
      <c r="A326" s="6" t="n">
        <v>45744</v>
      </c>
      <c r="B326" t="inlineStr">
        <is>
          <t>Hard Currency</t>
        </is>
      </c>
      <c r="C326" s="9" t="n">
        <v>0.00045</v>
      </c>
      <c r="D326" s="12" t="n">
        <v>1013.44</v>
      </c>
      <c r="E326" s="15" t="n">
        <v>0.004782</v>
      </c>
      <c r="F326" s="18" t="n">
        <v>0.00045</v>
      </c>
      <c r="G326" t="inlineStr">
        <is>
          <t>Risk-On</t>
        </is>
      </c>
    </row>
    <row r="327">
      <c r="A327" s="6" t="n">
        <v>45744</v>
      </c>
      <c r="B327" t="inlineStr">
        <is>
          <t>Local Currency</t>
        </is>
      </c>
      <c r="C327" s="9" t="n">
        <v>0.0006669999999999999</v>
      </c>
      <c r="D327" s="12" t="n">
        <v>1014.45</v>
      </c>
      <c r="E327" s="15" t="n">
        <v>0.004393</v>
      </c>
      <c r="F327" s="18" t="n">
        <v>0.0006669999999999999</v>
      </c>
      <c r="G327" t="inlineStr">
        <is>
          <t>Risk-On</t>
        </is>
      </c>
    </row>
    <row r="328">
      <c r="A328" s="6" t="n">
        <v>45747</v>
      </c>
      <c r="B328" t="inlineStr">
        <is>
          <t>Hard Currency</t>
        </is>
      </c>
      <c r="C328" s="9" t="n">
        <v>0.003923</v>
      </c>
      <c r="D328" s="12" t="n">
        <v>1017.41</v>
      </c>
      <c r="E328" s="15" t="n">
        <v>0.004732</v>
      </c>
      <c r="F328" s="18" t="n">
        <v>0.003923</v>
      </c>
      <c r="G328" t="inlineStr">
        <is>
          <t>Risk-On</t>
        </is>
      </c>
    </row>
    <row r="329">
      <c r="A329" s="6" t="n">
        <v>45747</v>
      </c>
      <c r="B329" t="inlineStr">
        <is>
          <t>Local Currency</t>
        </is>
      </c>
      <c r="C329" s="9" t="n">
        <v>0.002859</v>
      </c>
      <c r="D329" s="12" t="n">
        <v>1017.35</v>
      </c>
      <c r="E329" s="15" t="n">
        <v>0.004393</v>
      </c>
      <c r="F329" s="18" t="n">
        <v>0.002859</v>
      </c>
      <c r="G329" t="inlineStr">
        <is>
          <t>Risk-On</t>
        </is>
      </c>
    </row>
    <row r="330">
      <c r="A330" s="6" t="n">
        <v>45748</v>
      </c>
      <c r="B330" t="inlineStr">
        <is>
          <t>Hard Currency</t>
        </is>
      </c>
      <c r="C330" s="9" t="n">
        <v>0.003218</v>
      </c>
      <c r="D330" s="12" t="n">
        <v>1020.69</v>
      </c>
      <c r="E330" s="15" t="n">
        <v>0.004732</v>
      </c>
      <c r="F330" s="18" t="n">
        <v>0.003218</v>
      </c>
      <c r="G330" t="inlineStr">
        <is>
          <t>Risk-On</t>
        </is>
      </c>
    </row>
    <row r="331">
      <c r="A331" s="6" t="n">
        <v>45748</v>
      </c>
      <c r="B331" t="inlineStr">
        <is>
          <t>Local Currency</t>
        </is>
      </c>
      <c r="C331" s="9" t="n">
        <v>0.001587</v>
      </c>
      <c r="D331" s="12" t="n">
        <v>1018.97</v>
      </c>
      <c r="E331" s="15" t="n">
        <v>0.004393</v>
      </c>
      <c r="F331" s="18" t="n">
        <v>0.001587</v>
      </c>
      <c r="G331" t="inlineStr">
        <is>
          <t>Risk-On</t>
        </is>
      </c>
    </row>
    <row r="332">
      <c r="A332" s="6" t="n">
        <v>45749</v>
      </c>
      <c r="B332" t="inlineStr">
        <is>
          <t>Hard Currency</t>
        </is>
      </c>
      <c r="C332" s="9" t="n">
        <v>0.000377</v>
      </c>
      <c r="D332" s="12" t="n">
        <v>1021.07</v>
      </c>
      <c r="E332" s="15" t="n">
        <v>0.004732</v>
      </c>
      <c r="F332" s="18" t="n">
        <v>0.000377</v>
      </c>
      <c r="G332" t="inlineStr">
        <is>
          <t>Normal</t>
        </is>
      </c>
    </row>
    <row r="333">
      <c r="A333" s="6" t="n">
        <v>45749</v>
      </c>
      <c r="B333" t="inlineStr">
        <is>
          <t>Local Currency</t>
        </is>
      </c>
      <c r="C333" s="9" t="n">
        <v>-0.001347</v>
      </c>
      <c r="D333" s="12" t="n">
        <v>1017.6</v>
      </c>
      <c r="E333" s="15" t="n">
        <v>0.004393</v>
      </c>
      <c r="F333" s="18" t="n">
        <v>-0.001347</v>
      </c>
      <c r="G333" t="inlineStr">
        <is>
          <t>Normal</t>
        </is>
      </c>
    </row>
    <row r="334">
      <c r="A334" s="6" t="n">
        <v>45750</v>
      </c>
      <c r="B334" t="inlineStr">
        <is>
          <t>Hard Currency</t>
        </is>
      </c>
      <c r="C334" s="9" t="n">
        <v>0.010945</v>
      </c>
      <c r="D334" s="12" t="n">
        <v>1032.25</v>
      </c>
      <c r="E334" s="15" t="n">
        <v>0.004576</v>
      </c>
      <c r="F334" s="18" t="n">
        <v>0.010945</v>
      </c>
      <c r="G334" t="inlineStr">
        <is>
          <t>Rate Shock</t>
        </is>
      </c>
    </row>
    <row r="335">
      <c r="A335" s="6" t="n">
        <v>45750</v>
      </c>
      <c r="B335" t="inlineStr">
        <is>
          <t>Local Currency</t>
        </is>
      </c>
      <c r="C335" s="9" t="n">
        <v>0.011838</v>
      </c>
      <c r="D335" s="12" t="n">
        <v>1029.64</v>
      </c>
      <c r="E335" s="15" t="n">
        <v>0.004393</v>
      </c>
      <c r="F335" s="18" t="n">
        <v>0.011838</v>
      </c>
      <c r="G335" t="inlineStr">
        <is>
          <t>Rate Shock</t>
        </is>
      </c>
    </row>
    <row r="336">
      <c r="A336" s="6" t="n">
        <v>45751</v>
      </c>
      <c r="B336" t="inlineStr">
        <is>
          <t>Hard Currency</t>
        </is>
      </c>
      <c r="C336" s="9" t="n">
        <v>0.002436</v>
      </c>
      <c r="D336" s="12" t="n">
        <v>1034.76</v>
      </c>
      <c r="E336" s="15" t="n">
        <v>0.004576</v>
      </c>
      <c r="F336" s="18" t="n">
        <v>0.002436</v>
      </c>
      <c r="G336" t="inlineStr">
        <is>
          <t>EM Crisis</t>
        </is>
      </c>
    </row>
    <row r="337">
      <c r="A337" s="6" t="n">
        <v>45751</v>
      </c>
      <c r="B337" t="inlineStr">
        <is>
          <t>Local Currency</t>
        </is>
      </c>
      <c r="C337" s="9" t="n">
        <v>-0.000634</v>
      </c>
      <c r="D337" s="12" t="n">
        <v>1028.99</v>
      </c>
      <c r="E337" s="15" t="n">
        <v>0.004393</v>
      </c>
      <c r="F337" s="18" t="n">
        <v>-0.000634</v>
      </c>
      <c r="G337" t="inlineStr">
        <is>
          <t>EM Crisis</t>
        </is>
      </c>
    </row>
    <row r="338">
      <c r="A338" s="6" t="n">
        <v>45754</v>
      </c>
      <c r="B338" t="inlineStr">
        <is>
          <t>Hard Currency</t>
        </is>
      </c>
      <c r="C338" s="9" t="n">
        <v>-0.00461</v>
      </c>
      <c r="D338" s="12" t="n">
        <v>1029.99</v>
      </c>
      <c r="E338" s="15" t="n">
        <v>0.00465</v>
      </c>
      <c r="F338" s="18" t="n">
        <v>-0.00461</v>
      </c>
      <c r="G338" t="inlineStr">
        <is>
          <t>Risk-On</t>
        </is>
      </c>
    </row>
    <row r="339">
      <c r="A339" s="6" t="n">
        <v>45754</v>
      </c>
      <c r="B339" t="inlineStr">
        <is>
          <t>Local Currency</t>
        </is>
      </c>
      <c r="C339" s="9" t="n">
        <v>-0.000295</v>
      </c>
      <c r="D339" s="12" t="n">
        <v>1028.69</v>
      </c>
      <c r="E339" s="15" t="n">
        <v>0.004393</v>
      </c>
      <c r="F339" s="18" t="n">
        <v>-0.000295</v>
      </c>
      <c r="G339" t="inlineStr">
        <is>
          <t>Risk-On</t>
        </is>
      </c>
    </row>
    <row r="340">
      <c r="A340" s="6" t="n">
        <v>45755</v>
      </c>
      <c r="B340" t="inlineStr">
        <is>
          <t>Hard Currency</t>
        </is>
      </c>
      <c r="C340" s="9" t="n">
        <v>0.001893</v>
      </c>
      <c r="D340" s="12" t="n">
        <v>1031.94</v>
      </c>
      <c r="E340" s="15" t="n">
        <v>0.00465</v>
      </c>
      <c r="F340" s="18" t="n">
        <v>0.001893</v>
      </c>
      <c r="G340" t="inlineStr">
        <is>
          <t>Normal</t>
        </is>
      </c>
    </row>
    <row r="341">
      <c r="A341" s="6" t="n">
        <v>45755</v>
      </c>
      <c r="B341" t="inlineStr">
        <is>
          <t>Local Currency</t>
        </is>
      </c>
      <c r="C341" s="9" t="n">
        <v>-0.001357</v>
      </c>
      <c r="D341" s="12" t="n">
        <v>1027.29</v>
      </c>
      <c r="E341" s="15" t="n">
        <v>0.004393</v>
      </c>
      <c r="F341" s="18" t="n">
        <v>-0.001357</v>
      </c>
      <c r="G341" t="inlineStr">
        <is>
          <t>Normal</t>
        </is>
      </c>
    </row>
    <row r="342">
      <c r="A342" s="6" t="n">
        <v>45756</v>
      </c>
      <c r="B342" t="inlineStr">
        <is>
          <t>Hard Currency</t>
        </is>
      </c>
      <c r="C342" s="9" t="n">
        <v>-0.006772</v>
      </c>
      <c r="D342" s="12" t="n">
        <v>1024.96</v>
      </c>
      <c r="E342" s="15" t="n">
        <v>0.004732</v>
      </c>
      <c r="F342" s="18" t="n">
        <v>-0.006772</v>
      </c>
      <c r="G342" t="inlineStr">
        <is>
          <t>Normal</t>
        </is>
      </c>
    </row>
    <row r="343">
      <c r="A343" s="6" t="n">
        <v>45756</v>
      </c>
      <c r="B343" t="inlineStr">
        <is>
          <t>Local Currency</t>
        </is>
      </c>
      <c r="C343" s="9" t="n">
        <v>-0.001298</v>
      </c>
      <c r="D343" s="12" t="n">
        <v>1025.96</v>
      </c>
      <c r="E343" s="15" t="n">
        <v>0.004393</v>
      </c>
      <c r="F343" s="18" t="n">
        <v>-0.001298</v>
      </c>
      <c r="G343" t="inlineStr">
        <is>
          <t>Normal</t>
        </is>
      </c>
    </row>
    <row r="344">
      <c r="A344" s="6" t="n">
        <v>45757</v>
      </c>
      <c r="B344" t="inlineStr">
        <is>
          <t>Hard Currency</t>
        </is>
      </c>
      <c r="C344" s="9" t="n">
        <v>-0.000617</v>
      </c>
      <c r="D344" s="12" t="n">
        <v>1024.32</v>
      </c>
      <c r="E344" s="15" t="n">
        <v>0.004732</v>
      </c>
      <c r="F344" s="18" t="n">
        <v>-0.000617</v>
      </c>
      <c r="G344" t="inlineStr">
        <is>
          <t>Normal</t>
        </is>
      </c>
    </row>
    <row r="345">
      <c r="A345" s="6" t="n">
        <v>45757</v>
      </c>
      <c r="B345" t="inlineStr">
        <is>
          <t>Local Currency</t>
        </is>
      </c>
      <c r="C345" s="9" t="n">
        <v>-0.000564</v>
      </c>
      <c r="D345" s="12" t="n">
        <v>1025.38</v>
      </c>
      <c r="E345" s="15" t="n">
        <v>0.004393</v>
      </c>
      <c r="F345" s="18" t="n">
        <v>-0.000564</v>
      </c>
      <c r="G345" t="inlineStr">
        <is>
          <t>Normal</t>
        </is>
      </c>
    </row>
    <row r="346">
      <c r="A346" s="6" t="n">
        <v>45758</v>
      </c>
      <c r="B346" t="inlineStr">
        <is>
          <t>Hard Currency</t>
        </is>
      </c>
      <c r="C346" s="9" t="n">
        <v>0.00211</v>
      </c>
      <c r="D346" s="12" t="n">
        <v>1026.48</v>
      </c>
      <c r="E346" s="15" t="n">
        <v>0.00465</v>
      </c>
      <c r="F346" s="18" t="n">
        <v>0.00211</v>
      </c>
      <c r="G346" t="inlineStr">
        <is>
          <t>Normal</t>
        </is>
      </c>
    </row>
    <row r="347">
      <c r="A347" s="6" t="n">
        <v>45758</v>
      </c>
      <c r="B347" t="inlineStr">
        <is>
          <t>Local Currency</t>
        </is>
      </c>
      <c r="C347" s="9" t="n">
        <v>0.000351</v>
      </c>
      <c r="D347" s="12" t="n">
        <v>1025.74</v>
      </c>
      <c r="E347" s="15" t="n">
        <v>0.004393</v>
      </c>
      <c r="F347" s="18" t="n">
        <v>0.000351</v>
      </c>
      <c r="G347" t="inlineStr">
        <is>
          <t>Normal</t>
        </is>
      </c>
    </row>
    <row r="348">
      <c r="A348" s="6" t="n">
        <v>45761</v>
      </c>
      <c r="B348" t="inlineStr">
        <is>
          <t>Hard Currency</t>
        </is>
      </c>
      <c r="C348" s="9" t="n">
        <v>0.004167</v>
      </c>
      <c r="D348" s="12" t="n">
        <v>1030.76</v>
      </c>
      <c r="E348" s="15" t="n">
        <v>0.00465</v>
      </c>
      <c r="F348" s="18" t="n">
        <v>0.004167</v>
      </c>
      <c r="G348" t="inlineStr">
        <is>
          <t>Normal</t>
        </is>
      </c>
    </row>
    <row r="349">
      <c r="A349" s="6" t="n">
        <v>45761</v>
      </c>
      <c r="B349" t="inlineStr">
        <is>
          <t>Local Currency</t>
        </is>
      </c>
      <c r="C349" s="9" t="n">
        <v>0.004604</v>
      </c>
      <c r="D349" s="12" t="n">
        <v>1030.46</v>
      </c>
      <c r="E349" s="15" t="n">
        <v>0.004393</v>
      </c>
      <c r="F349" s="18" t="n">
        <v>0.004604</v>
      </c>
      <c r="G349" t="inlineStr">
        <is>
          <t>Normal</t>
        </is>
      </c>
    </row>
    <row r="350">
      <c r="A350" s="6" t="n">
        <v>45762</v>
      </c>
      <c r="B350" t="inlineStr">
        <is>
          <t>Hard Currency</t>
        </is>
      </c>
      <c r="C350" s="9" t="n">
        <v>0.000506</v>
      </c>
      <c r="D350" s="12" t="n">
        <v>1031.28</v>
      </c>
      <c r="E350" s="15" t="n">
        <v>0.00465</v>
      </c>
      <c r="F350" s="18" t="n">
        <v>0.000506</v>
      </c>
      <c r="G350" t="inlineStr">
        <is>
          <t>Normal</t>
        </is>
      </c>
    </row>
    <row r="351">
      <c r="A351" s="6" t="n">
        <v>45762</v>
      </c>
      <c r="B351" t="inlineStr">
        <is>
          <t>Local Currency</t>
        </is>
      </c>
      <c r="C351" s="9" t="n">
        <v>-8e-06</v>
      </c>
      <c r="D351" s="12" t="n">
        <v>1030.45</v>
      </c>
      <c r="E351" s="15" t="n">
        <v>0.004393</v>
      </c>
      <c r="F351" s="18" t="n">
        <v>-8e-06</v>
      </c>
      <c r="G351" t="inlineStr">
        <is>
          <t>Normal</t>
        </is>
      </c>
    </row>
    <row r="352">
      <c r="A352" s="6" t="n">
        <v>45763</v>
      </c>
      <c r="B352" t="inlineStr">
        <is>
          <t>Hard Currency</t>
        </is>
      </c>
      <c r="C352" s="9" t="n">
        <v>-0.001183</v>
      </c>
      <c r="D352" s="12" t="n">
        <v>1030.06</v>
      </c>
      <c r="E352" s="15" t="n">
        <v>0.00465</v>
      </c>
      <c r="F352" s="18" t="n">
        <v>-0.001183</v>
      </c>
      <c r="G352" t="inlineStr">
        <is>
          <t>Normal</t>
        </is>
      </c>
    </row>
    <row r="353">
      <c r="A353" s="6" t="n">
        <v>45763</v>
      </c>
      <c r="B353" t="inlineStr">
        <is>
          <t>Local Currency</t>
        </is>
      </c>
      <c r="C353" s="9" t="n">
        <v>0.000457</v>
      </c>
      <c r="D353" s="12" t="n">
        <v>1030.92</v>
      </c>
      <c r="E353" s="15" t="n">
        <v>0.004393</v>
      </c>
      <c r="F353" s="18" t="n">
        <v>0.000457</v>
      </c>
      <c r="G353" t="inlineStr">
        <is>
          <t>Normal</t>
        </is>
      </c>
    </row>
    <row r="354">
      <c r="A354" s="6" t="n">
        <v>45769</v>
      </c>
      <c r="B354" t="inlineStr">
        <is>
          <t>Hard Currency</t>
        </is>
      </c>
      <c r="C354" s="9" t="n">
        <v>0.006826</v>
      </c>
      <c r="D354" s="12" t="n">
        <v>1037.09</v>
      </c>
      <c r="E354" s="15" t="n">
        <v>0.00465</v>
      </c>
      <c r="F354" s="18" t="n">
        <v>0.006826</v>
      </c>
      <c r="G354" t="inlineStr">
        <is>
          <t>Normal</t>
        </is>
      </c>
    </row>
    <row r="355">
      <c r="A355" s="6" t="n">
        <v>45769</v>
      </c>
      <c r="B355" t="inlineStr">
        <is>
          <t>Local Currency</t>
        </is>
      </c>
      <c r="C355" s="9" t="n">
        <v>0.001962</v>
      </c>
      <c r="D355" s="12" t="n">
        <v>1032.95</v>
      </c>
      <c r="E355" s="15" t="n">
        <v>0.004393</v>
      </c>
      <c r="F355" s="18" t="n">
        <v>0.001962</v>
      </c>
      <c r="G355" t="inlineStr">
        <is>
          <t>Normal</t>
        </is>
      </c>
    </row>
    <row r="356">
      <c r="A356" s="6" t="n">
        <v>45770</v>
      </c>
      <c r="B356" t="inlineStr">
        <is>
          <t>Hard Currency</t>
        </is>
      </c>
      <c r="C356" s="9" t="n">
        <v>0.001943</v>
      </c>
      <c r="D356" s="12" t="n">
        <v>1039.11</v>
      </c>
      <c r="E356" s="15" t="n">
        <v>0.00465</v>
      </c>
      <c r="F356" s="18" t="n">
        <v>0.001943</v>
      </c>
      <c r="G356" t="inlineStr">
        <is>
          <t>Normal</t>
        </is>
      </c>
    </row>
    <row r="357">
      <c r="A357" s="6" t="n">
        <v>45770</v>
      </c>
      <c r="B357" t="inlineStr">
        <is>
          <t>Local Currency</t>
        </is>
      </c>
      <c r="C357" s="9" t="n">
        <v>0.000187</v>
      </c>
      <c r="D357" s="12" t="n">
        <v>1033.14</v>
      </c>
      <c r="E357" s="15" t="n">
        <v>0.004393</v>
      </c>
      <c r="F357" s="18" t="n">
        <v>0.000187</v>
      </c>
      <c r="G357" t="inlineStr">
        <is>
          <t>Normal</t>
        </is>
      </c>
    </row>
    <row r="358">
      <c r="A358" s="6" t="n">
        <v>45771</v>
      </c>
      <c r="B358" t="inlineStr">
        <is>
          <t>Hard Currency</t>
        </is>
      </c>
      <c r="C358" s="9" t="n">
        <v>0.00168</v>
      </c>
      <c r="D358" s="12" t="n">
        <v>1040.85</v>
      </c>
      <c r="E358" s="15" t="n">
        <v>0.00465</v>
      </c>
      <c r="F358" s="18" t="n">
        <v>0.00168</v>
      </c>
      <c r="G358" t="inlineStr">
        <is>
          <t>Normal</t>
        </is>
      </c>
    </row>
    <row r="359">
      <c r="A359" s="6" t="n">
        <v>45771</v>
      </c>
      <c r="B359" t="inlineStr">
        <is>
          <t>Local Currency</t>
        </is>
      </c>
      <c r="C359" s="9" t="n">
        <v>0.005859</v>
      </c>
      <c r="D359" s="12" t="n">
        <v>1039.19</v>
      </c>
      <c r="E359" s="15" t="n">
        <v>0.004393</v>
      </c>
      <c r="F359" s="18" t="n">
        <v>0.005859</v>
      </c>
      <c r="G359" t="inlineStr">
        <is>
          <t>Normal</t>
        </is>
      </c>
    </row>
    <row r="360">
      <c r="A360" s="6" t="n">
        <v>45772</v>
      </c>
      <c r="B360" t="inlineStr">
        <is>
          <t>Hard Currency</t>
        </is>
      </c>
      <c r="C360" s="9" t="n">
        <v>-0.000512</v>
      </c>
      <c r="D360" s="12" t="n">
        <v>1040.32</v>
      </c>
      <c r="E360" s="15" t="n">
        <v>0.00465</v>
      </c>
      <c r="F360" s="18" t="n">
        <v>-0.000512</v>
      </c>
      <c r="G360" t="inlineStr">
        <is>
          <t>Normal</t>
        </is>
      </c>
    </row>
    <row r="361">
      <c r="A361" s="6" t="n">
        <v>45772</v>
      </c>
      <c r="B361" t="inlineStr">
        <is>
          <t>Local Currency</t>
        </is>
      </c>
      <c r="C361" s="9" t="n">
        <v>0.000441</v>
      </c>
      <c r="D361" s="12" t="n">
        <v>1039.65</v>
      </c>
      <c r="E361" s="15" t="n">
        <v>0.004393</v>
      </c>
      <c r="F361" s="18" t="n">
        <v>0.000441</v>
      </c>
      <c r="G361" t="inlineStr">
        <is>
          <t>Normal</t>
        </is>
      </c>
    </row>
    <row r="362">
      <c r="A362" s="6" t="n">
        <v>45776</v>
      </c>
      <c r="B362" t="inlineStr">
        <is>
          <t>Hard Currency</t>
        </is>
      </c>
      <c r="C362" s="9" t="n">
        <v>0.000481</v>
      </c>
      <c r="D362" s="12" t="n">
        <v>1040.82</v>
      </c>
      <c r="E362" s="15" t="n">
        <v>0.00465</v>
      </c>
      <c r="F362" s="18" t="n">
        <v>0.000481</v>
      </c>
      <c r="G362" t="inlineStr">
        <is>
          <t>Normal</t>
        </is>
      </c>
    </row>
    <row r="363">
      <c r="A363" s="6" t="n">
        <v>45776</v>
      </c>
      <c r="B363" t="inlineStr">
        <is>
          <t>Local Currency</t>
        </is>
      </c>
      <c r="C363" s="9" t="n">
        <v>0.000359</v>
      </c>
      <c r="D363" s="12" t="n">
        <v>1040.02</v>
      </c>
      <c r="E363" s="15" t="n">
        <v>0.004393</v>
      </c>
      <c r="F363" s="18" t="n">
        <v>0.000359</v>
      </c>
      <c r="G363" t="inlineStr">
        <is>
          <t>Normal</t>
        </is>
      </c>
    </row>
    <row r="364">
      <c r="A364" s="6" t="n">
        <v>45777</v>
      </c>
      <c r="B364" t="inlineStr">
        <is>
          <t>Hard Currency</t>
        </is>
      </c>
      <c r="C364" s="9" t="n">
        <v>0.001876</v>
      </c>
      <c r="D364" s="12" t="n">
        <v>1042.77</v>
      </c>
      <c r="E364" s="15" t="n">
        <v>0.00465</v>
      </c>
      <c r="F364" s="18" t="n">
        <v>0.001876</v>
      </c>
      <c r="G364" t="inlineStr">
        <is>
          <t>Normal</t>
        </is>
      </c>
    </row>
    <row r="365">
      <c r="A365" s="6" t="n">
        <v>45777</v>
      </c>
      <c r="B365" t="inlineStr">
        <is>
          <t>Local Currency</t>
        </is>
      </c>
      <c r="C365" s="9" t="n">
        <v>0.003153</v>
      </c>
      <c r="D365" s="12" t="n">
        <v>1043.3</v>
      </c>
      <c r="E365" s="15" t="n">
        <v>0.004393</v>
      </c>
      <c r="F365" s="18" t="n">
        <v>0.003153</v>
      </c>
      <c r="G365" t="inlineStr">
        <is>
          <t>Normal</t>
        </is>
      </c>
    </row>
    <row r="366">
      <c r="A366" s="6" t="n">
        <v>45782</v>
      </c>
      <c r="B366" t="inlineStr">
        <is>
          <t>Hard Currency</t>
        </is>
      </c>
      <c r="C366" s="9" t="n">
        <v>-0.005373</v>
      </c>
      <c r="D366" s="12" t="n">
        <v>1037.17</v>
      </c>
      <c r="E366" s="15" t="n">
        <v>0.004732</v>
      </c>
      <c r="F366" s="18" t="n">
        <v>-0.005373</v>
      </c>
      <c r="G366" t="inlineStr">
        <is>
          <t>Rate Shock</t>
        </is>
      </c>
    </row>
    <row r="367">
      <c r="A367" s="6" t="n">
        <v>45782</v>
      </c>
      <c r="B367" t="inlineStr">
        <is>
          <t>Local Currency</t>
        </is>
      </c>
      <c r="C367" s="9" t="n">
        <v>-0.002923</v>
      </c>
      <c r="D367" s="12" t="n">
        <v>1040.25</v>
      </c>
      <c r="E367" s="15" t="n">
        <v>0.004393</v>
      </c>
      <c r="F367" s="18" t="n">
        <v>-0.002923</v>
      </c>
      <c r="G367" t="inlineStr">
        <is>
          <t>Rate Shock</t>
        </is>
      </c>
    </row>
    <row r="368">
      <c r="A368" s="6" t="n">
        <v>45783</v>
      </c>
      <c r="B368" t="inlineStr">
        <is>
          <t>Hard Currency</t>
        </is>
      </c>
      <c r="C368" s="9" t="n">
        <v>-0.01928</v>
      </c>
      <c r="D368" s="12" t="n">
        <v>1017.17</v>
      </c>
      <c r="E368" s="15" t="n">
        <v>0.004782</v>
      </c>
      <c r="F368" s="18" t="n">
        <v>-0.01928</v>
      </c>
      <c r="G368" t="inlineStr">
        <is>
          <t>Normal</t>
        </is>
      </c>
    </row>
    <row r="369">
      <c r="A369" s="6" t="n">
        <v>45783</v>
      </c>
      <c r="B369" t="inlineStr">
        <is>
          <t>Local Currency</t>
        </is>
      </c>
      <c r="C369" s="9" t="n">
        <v>0.000134</v>
      </c>
      <c r="D369" s="12" t="n">
        <v>1040.39</v>
      </c>
      <c r="E369" s="15" t="n">
        <v>0.004393</v>
      </c>
      <c r="F369" s="18" t="n">
        <v>0.000134</v>
      </c>
      <c r="G369" t="inlineStr">
        <is>
          <t>Normal</t>
        </is>
      </c>
    </row>
    <row r="370">
      <c r="A370" s="6" t="n">
        <v>45784</v>
      </c>
      <c r="B370" t="inlineStr">
        <is>
          <t>Hard Currency</t>
        </is>
      </c>
      <c r="C370" s="9" t="n">
        <v>3.5e-05</v>
      </c>
      <c r="D370" s="12" t="n">
        <v>1017.21</v>
      </c>
      <c r="E370" s="15" t="n">
        <v>0.004782</v>
      </c>
      <c r="F370" s="18" t="n">
        <v>3.5e-05</v>
      </c>
      <c r="G370" t="inlineStr">
        <is>
          <t>Normal</t>
        </is>
      </c>
    </row>
    <row r="371">
      <c r="A371" s="6" t="n">
        <v>45784</v>
      </c>
      <c r="B371" t="inlineStr">
        <is>
          <t>Local Currency</t>
        </is>
      </c>
      <c r="C371" s="9" t="n">
        <v>0.002542</v>
      </c>
      <c r="D371" s="12" t="n">
        <v>1043.04</v>
      </c>
      <c r="E371" s="15" t="n">
        <v>0.004393</v>
      </c>
      <c r="F371" s="18" t="n">
        <v>0.002542</v>
      </c>
      <c r="G371" t="inlineStr">
        <is>
          <t>Normal</t>
        </is>
      </c>
    </row>
    <row r="372">
      <c r="A372" s="6" t="n">
        <v>45785</v>
      </c>
      <c r="B372" t="inlineStr">
        <is>
          <t>Hard Currency</t>
        </is>
      </c>
      <c r="C372" s="9" t="n">
        <v>-0.004216</v>
      </c>
      <c r="D372" s="12" t="n">
        <v>1012.92</v>
      </c>
      <c r="E372" s="15" t="n">
        <v>0.004782</v>
      </c>
      <c r="F372" s="18" t="n">
        <v>-0.004216</v>
      </c>
      <c r="G372" t="inlineStr">
        <is>
          <t>EM Crisis</t>
        </is>
      </c>
    </row>
    <row r="373">
      <c r="A373" s="6" t="n">
        <v>45785</v>
      </c>
      <c r="B373" t="inlineStr">
        <is>
          <t>Local Currency</t>
        </is>
      </c>
      <c r="C373" s="9" t="n">
        <v>-0.001958</v>
      </c>
      <c r="D373" s="12" t="n">
        <v>1041</v>
      </c>
      <c r="E373" s="15" t="n">
        <v>0.004393</v>
      </c>
      <c r="F373" s="18" t="n">
        <v>-0.001958</v>
      </c>
      <c r="G373" t="inlineStr">
        <is>
          <t>EM Crisis</t>
        </is>
      </c>
    </row>
    <row r="374">
      <c r="A374" s="6" t="n">
        <v>45786</v>
      </c>
      <c r="B374" t="inlineStr">
        <is>
          <t>Hard Currency</t>
        </is>
      </c>
      <c r="C374" s="9" t="n">
        <v>-0.002737</v>
      </c>
      <c r="D374" s="12" t="n">
        <v>1010.15</v>
      </c>
      <c r="E374" s="15" t="n">
        <v>0.004732</v>
      </c>
      <c r="F374" s="18" t="n">
        <v>-0.002737</v>
      </c>
      <c r="G374" t="inlineStr">
        <is>
          <t>Normal</t>
        </is>
      </c>
    </row>
    <row r="375">
      <c r="A375" s="6" t="n">
        <v>45786</v>
      </c>
      <c r="B375" t="inlineStr">
        <is>
          <t>Local Currency</t>
        </is>
      </c>
      <c r="C375" s="9" t="n">
        <v>0.002227</v>
      </c>
      <c r="D375" s="12" t="n">
        <v>1043.31</v>
      </c>
      <c r="E375" s="15" t="n">
        <v>0.004393</v>
      </c>
      <c r="F375" s="18" t="n">
        <v>0.002227</v>
      </c>
      <c r="G375" t="inlineStr">
        <is>
          <t>Normal</t>
        </is>
      </c>
    </row>
    <row r="376">
      <c r="A376" s="6" t="n">
        <v>45789</v>
      </c>
      <c r="B376" t="inlineStr">
        <is>
          <t>Hard Currency</t>
        </is>
      </c>
      <c r="C376" s="9" t="n">
        <v>-0.001954</v>
      </c>
      <c r="D376" s="12" t="n">
        <v>1008.18</v>
      </c>
      <c r="E376" s="15" t="n">
        <v>0.004732</v>
      </c>
      <c r="F376" s="18" t="n">
        <v>-0.001954</v>
      </c>
      <c r="G376" t="inlineStr">
        <is>
          <t>Rate Shock</t>
        </is>
      </c>
    </row>
    <row r="377">
      <c r="A377" s="6" t="n">
        <v>45789</v>
      </c>
      <c r="B377" t="inlineStr">
        <is>
          <t>Local Currency</t>
        </is>
      </c>
      <c r="C377" s="9" t="n">
        <v>-0.003251</v>
      </c>
      <c r="D377" s="12" t="n">
        <v>1039.92</v>
      </c>
      <c r="E377" s="15" t="n">
        <v>0.004393</v>
      </c>
      <c r="F377" s="18" t="n">
        <v>-0.003251</v>
      </c>
      <c r="G377" t="inlineStr">
        <is>
          <t>Rate Shock</t>
        </is>
      </c>
    </row>
    <row r="378">
      <c r="A378" s="6" t="n">
        <v>45790</v>
      </c>
      <c r="B378" t="inlineStr">
        <is>
          <t>Hard Currency</t>
        </is>
      </c>
      <c r="C378" s="9" t="n">
        <v>-0.002197</v>
      </c>
      <c r="D378" s="12" t="n">
        <v>1005.96</v>
      </c>
      <c r="E378" s="15" t="n">
        <v>0.004732</v>
      </c>
      <c r="F378" s="18" t="n">
        <v>-0.002197</v>
      </c>
      <c r="G378" t="inlineStr">
        <is>
          <t>Normal</t>
        </is>
      </c>
    </row>
    <row r="379">
      <c r="A379" s="6" t="n">
        <v>45790</v>
      </c>
      <c r="B379" t="inlineStr">
        <is>
          <t>Local Currency</t>
        </is>
      </c>
      <c r="C379" s="9" t="n">
        <v>-0.002885</v>
      </c>
      <c r="D379" s="12" t="n">
        <v>1036.92</v>
      </c>
      <c r="E379" s="15" t="n">
        <v>0.004393</v>
      </c>
      <c r="F379" s="18" t="n">
        <v>-0.002885</v>
      </c>
      <c r="G379" t="inlineStr">
        <is>
          <t>Normal</t>
        </is>
      </c>
    </row>
    <row r="380">
      <c r="A380" s="6" t="n">
        <v>45791</v>
      </c>
      <c r="B380" t="inlineStr">
        <is>
          <t>Hard Currency</t>
        </is>
      </c>
      <c r="C380" s="9" t="n">
        <v>-0.001161</v>
      </c>
      <c r="D380" s="12" t="n">
        <v>1004.79</v>
      </c>
      <c r="E380" s="15" t="n">
        <v>0.004732</v>
      </c>
      <c r="F380" s="18" t="n">
        <v>-0.001161</v>
      </c>
      <c r="G380" t="inlineStr">
        <is>
          <t>Normal</t>
        </is>
      </c>
    </row>
    <row r="381">
      <c r="A381" s="6" t="n">
        <v>45791</v>
      </c>
      <c r="B381" t="inlineStr">
        <is>
          <t>Local Currency</t>
        </is>
      </c>
      <c r="C381" s="9" t="n">
        <v>0.000565</v>
      </c>
      <c r="D381" s="12" t="n">
        <v>1037.51</v>
      </c>
      <c r="E381" s="15" t="n">
        <v>0.004393</v>
      </c>
      <c r="F381" s="18" t="n">
        <v>0.000565</v>
      </c>
      <c r="G381" t="inlineStr">
        <is>
          <t>Normal</t>
        </is>
      </c>
    </row>
    <row r="382">
      <c r="A382" s="6" t="n">
        <v>45792</v>
      </c>
      <c r="B382" t="inlineStr">
        <is>
          <t>Hard Currency</t>
        </is>
      </c>
      <c r="C382" s="9" t="n">
        <v>-0.002175</v>
      </c>
      <c r="D382" s="12" t="n">
        <v>1002.61</v>
      </c>
      <c r="E382" s="15" t="n">
        <v>0.004732</v>
      </c>
      <c r="F382" s="18" t="n">
        <v>-0.002175</v>
      </c>
      <c r="G382" t="inlineStr">
        <is>
          <t>Rate Shock</t>
        </is>
      </c>
    </row>
    <row r="383">
      <c r="A383" s="6" t="n">
        <v>45792</v>
      </c>
      <c r="B383" t="inlineStr">
        <is>
          <t>Local Currency</t>
        </is>
      </c>
      <c r="C383" s="9" t="n">
        <v>-0.003916</v>
      </c>
      <c r="D383" s="12" t="n">
        <v>1033.44</v>
      </c>
      <c r="E383" s="15" t="n">
        <v>0.004393</v>
      </c>
      <c r="F383" s="18" t="n">
        <v>-0.003916</v>
      </c>
      <c r="G383" t="inlineStr">
        <is>
          <t>Rate Shock</t>
        </is>
      </c>
    </row>
    <row r="384">
      <c r="A384" s="6" t="n">
        <v>45793</v>
      </c>
      <c r="B384" t="inlineStr">
        <is>
          <t>Hard Currency</t>
        </is>
      </c>
      <c r="C384" s="9" t="n">
        <v>0.003259</v>
      </c>
      <c r="D384" s="12" t="n">
        <v>1005.87</v>
      </c>
      <c r="E384" s="15" t="n">
        <v>0.004732</v>
      </c>
      <c r="F384" s="18" t="n">
        <v>0.003259</v>
      </c>
      <c r="G384" t="inlineStr">
        <is>
          <t>Rate Shock</t>
        </is>
      </c>
    </row>
    <row r="385">
      <c r="A385" s="6" t="n">
        <v>45793</v>
      </c>
      <c r="B385" t="inlineStr">
        <is>
          <t>Local Currency</t>
        </is>
      </c>
      <c r="C385" s="9" t="n">
        <v>0.002859</v>
      </c>
      <c r="D385" s="12" t="n">
        <v>1036.4</v>
      </c>
      <c r="E385" s="15" t="n">
        <v>0.004393</v>
      </c>
      <c r="F385" s="18" t="n">
        <v>0.002859</v>
      </c>
      <c r="G385" t="inlineStr">
        <is>
          <t>Rate Shock</t>
        </is>
      </c>
    </row>
    <row r="386">
      <c r="A386" s="6" t="n">
        <v>45798</v>
      </c>
      <c r="B386" t="inlineStr">
        <is>
          <t>Hard Currency</t>
        </is>
      </c>
      <c r="C386" s="9" t="n">
        <v>-0.005589</v>
      </c>
      <c r="D386" s="12" t="n">
        <v>1000.25</v>
      </c>
      <c r="E386" s="15" t="n">
        <v>0.004782</v>
      </c>
      <c r="F386" s="18" t="n">
        <v>-0.005589</v>
      </c>
      <c r="G386" t="inlineStr">
        <is>
          <t>Normal</t>
        </is>
      </c>
    </row>
    <row r="387">
      <c r="A387" s="6" t="n">
        <v>45798</v>
      </c>
      <c r="B387" t="inlineStr">
        <is>
          <t>Local Currency</t>
        </is>
      </c>
      <c r="C387" s="9" t="n">
        <v>-0.003034</v>
      </c>
      <c r="D387" s="12" t="n">
        <v>1033.25</v>
      </c>
      <c r="E387" s="15" t="n">
        <v>0.004393</v>
      </c>
      <c r="F387" s="18" t="n">
        <v>-0.003034</v>
      </c>
      <c r="G387" t="inlineStr">
        <is>
          <t>Normal</t>
        </is>
      </c>
    </row>
    <row r="388">
      <c r="A388" s="6" t="n">
        <v>45799</v>
      </c>
      <c r="B388" t="inlineStr">
        <is>
          <t>Hard Currency</t>
        </is>
      </c>
      <c r="C388" s="9" t="n">
        <v>0.001797</v>
      </c>
      <c r="D388" s="12" t="n">
        <v>1002.05</v>
      </c>
      <c r="E388" s="15" t="n">
        <v>0.004782</v>
      </c>
      <c r="F388" s="18" t="n">
        <v>0.001797</v>
      </c>
      <c r="G388" t="inlineStr">
        <is>
          <t>Normal</t>
        </is>
      </c>
    </row>
    <row r="389">
      <c r="A389" s="6" t="n">
        <v>45799</v>
      </c>
      <c r="B389" t="inlineStr">
        <is>
          <t>Local Currency</t>
        </is>
      </c>
      <c r="C389" s="9" t="n">
        <v>0.003113</v>
      </c>
      <c r="D389" s="12" t="n">
        <v>1036.47</v>
      </c>
      <c r="E389" s="15" t="n">
        <v>0.004393</v>
      </c>
      <c r="F389" s="18" t="n">
        <v>0.003113</v>
      </c>
      <c r="G389" t="inlineStr">
        <is>
          <t>Normal</t>
        </is>
      </c>
    </row>
    <row r="390">
      <c r="A390" s="6" t="n">
        <v>45800</v>
      </c>
      <c r="B390" t="inlineStr">
        <is>
          <t>Hard Currency</t>
        </is>
      </c>
      <c r="C390" s="9" t="n">
        <v>-0.001069</v>
      </c>
      <c r="D390" s="12" t="n">
        <v>1000.98</v>
      </c>
      <c r="E390" s="15" t="n">
        <v>0.004782</v>
      </c>
      <c r="F390" s="18" t="n">
        <v>-0.001069</v>
      </c>
      <c r="G390" t="inlineStr">
        <is>
          <t>Normal</t>
        </is>
      </c>
    </row>
    <row r="391">
      <c r="A391" s="6" t="n">
        <v>45800</v>
      </c>
      <c r="B391" t="inlineStr">
        <is>
          <t>Local Currency</t>
        </is>
      </c>
      <c r="C391" s="9" t="n">
        <v>-0.002429</v>
      </c>
      <c r="D391" s="12" t="n">
        <v>1033.95</v>
      </c>
      <c r="E391" s="15" t="n">
        <v>0.004393</v>
      </c>
      <c r="F391" s="18" t="n">
        <v>-0.002429</v>
      </c>
      <c r="G391" t="inlineStr">
        <is>
          <t>Normal</t>
        </is>
      </c>
    </row>
    <row r="392">
      <c r="A392" s="6" t="n">
        <v>45803</v>
      </c>
      <c r="B392" t="inlineStr">
        <is>
          <t>Hard Currency</t>
        </is>
      </c>
      <c r="C392" s="9" t="n">
        <v>0.002408</v>
      </c>
      <c r="D392" s="12" t="n">
        <v>1003.39</v>
      </c>
      <c r="E392" s="15" t="n">
        <v>0.004782</v>
      </c>
      <c r="F392" s="18" t="n">
        <v>0.002408</v>
      </c>
      <c r="G392" t="inlineStr">
        <is>
          <t>Normal</t>
        </is>
      </c>
    </row>
    <row r="393">
      <c r="A393" s="6" t="n">
        <v>45803</v>
      </c>
      <c r="B393" t="inlineStr">
        <is>
          <t>Local Currency</t>
        </is>
      </c>
      <c r="C393" s="9" t="n">
        <v>0.000821</v>
      </c>
      <c r="D393" s="12" t="n">
        <v>1034.8</v>
      </c>
      <c r="E393" s="15" t="n">
        <v>0.004393</v>
      </c>
      <c r="F393" s="18" t="n">
        <v>0.000821</v>
      </c>
      <c r="G393" t="inlineStr">
        <is>
          <t>Normal</t>
        </is>
      </c>
    </row>
    <row r="394">
      <c r="A394" s="6" t="n">
        <v>45804</v>
      </c>
      <c r="B394" t="inlineStr">
        <is>
          <t>Hard Currency</t>
        </is>
      </c>
      <c r="C394" s="9" t="n">
        <v>0.004293</v>
      </c>
      <c r="D394" s="12" t="n">
        <v>1007.7</v>
      </c>
      <c r="E394" s="15" t="n">
        <v>0.004782</v>
      </c>
      <c r="F394" s="18" t="n">
        <v>0.004293</v>
      </c>
      <c r="G394" t="inlineStr">
        <is>
          <t>Normal</t>
        </is>
      </c>
    </row>
    <row r="395">
      <c r="A395" s="6" t="n">
        <v>45804</v>
      </c>
      <c r="B395" t="inlineStr">
        <is>
          <t>Local Currency</t>
        </is>
      </c>
      <c r="C395" s="9" t="n">
        <v>0.004113</v>
      </c>
      <c r="D395" s="12" t="n">
        <v>1039.06</v>
      </c>
      <c r="E395" s="15" t="n">
        <v>0.004393</v>
      </c>
      <c r="F395" s="18" t="n">
        <v>0.004113</v>
      </c>
      <c r="G395" t="inlineStr">
        <is>
          <t>Normal</t>
        </is>
      </c>
    </row>
    <row r="396">
      <c r="A396" s="6" t="n">
        <v>45805</v>
      </c>
      <c r="B396" t="inlineStr">
        <is>
          <t>Hard Currency</t>
        </is>
      </c>
      <c r="C396" s="9" t="n">
        <v>-0.003635</v>
      </c>
      <c r="D396" s="12" t="n">
        <v>1004.03</v>
      </c>
      <c r="E396" s="15" t="n">
        <v>0.004782</v>
      </c>
      <c r="F396" s="18" t="n">
        <v>-0.003635</v>
      </c>
      <c r="G396" t="inlineStr">
        <is>
          <t>Normal</t>
        </is>
      </c>
    </row>
    <row r="397">
      <c r="A397" s="6" t="n">
        <v>45805</v>
      </c>
      <c r="B397" t="inlineStr">
        <is>
          <t>Local Currency</t>
        </is>
      </c>
      <c r="C397" s="9" t="n">
        <v>-0.000848</v>
      </c>
      <c r="D397" s="12" t="n">
        <v>1038.18</v>
      </c>
      <c r="E397" s="15" t="n">
        <v>0.004393</v>
      </c>
      <c r="F397" s="18" t="n">
        <v>-0.000848</v>
      </c>
      <c r="G397" t="inlineStr">
        <is>
          <t>Normal</t>
        </is>
      </c>
    </row>
    <row r="398">
      <c r="A398" s="6" t="n">
        <v>45806</v>
      </c>
      <c r="B398" t="inlineStr">
        <is>
          <t>Hard Currency</t>
        </is>
      </c>
      <c r="C398" s="9" t="n">
        <v>0.003233</v>
      </c>
      <c r="D398" s="12" t="n">
        <v>1007.28</v>
      </c>
      <c r="E398" s="15" t="n">
        <v>0.004782</v>
      </c>
      <c r="F398" s="18" t="n">
        <v>0.003233</v>
      </c>
      <c r="G398" t="inlineStr">
        <is>
          <t>Normal</t>
        </is>
      </c>
    </row>
    <row r="399">
      <c r="A399" s="6" t="n">
        <v>45806</v>
      </c>
      <c r="B399" t="inlineStr">
        <is>
          <t>Local Currency</t>
        </is>
      </c>
      <c r="C399" s="9" t="n">
        <v>0.00299</v>
      </c>
      <c r="D399" s="12" t="n">
        <v>1041.28</v>
      </c>
      <c r="E399" s="15" t="n">
        <v>0.004393</v>
      </c>
      <c r="F399" s="18" t="n">
        <v>0.00299</v>
      </c>
      <c r="G399" t="inlineStr">
        <is>
          <t>Normal</t>
        </is>
      </c>
    </row>
    <row r="400">
      <c r="A400" s="6" t="n">
        <v>45807</v>
      </c>
      <c r="B400" t="inlineStr">
        <is>
          <t>Hard Currency</t>
        </is>
      </c>
      <c r="C400" s="9" t="n">
        <v>0.002576</v>
      </c>
      <c r="D400" s="12" t="n">
        <v>1009.88</v>
      </c>
      <c r="E400" s="15" t="n">
        <v>0.004782</v>
      </c>
      <c r="F400" s="18" t="n">
        <v>0.002576</v>
      </c>
      <c r="G400" t="inlineStr">
        <is>
          <t>Normal</t>
        </is>
      </c>
    </row>
    <row r="401">
      <c r="A401" s="6" t="n">
        <v>45807</v>
      </c>
      <c r="B401" t="inlineStr">
        <is>
          <t>Local Currency</t>
        </is>
      </c>
      <c r="C401" s="9" t="n">
        <v>0.0006400000000000001</v>
      </c>
      <c r="D401" s="12" t="n">
        <v>1041.95</v>
      </c>
      <c r="E401" s="15" t="n">
        <v>0.004393</v>
      </c>
      <c r="F401" s="18" t="n">
        <v>0.0006400000000000001</v>
      </c>
      <c r="G401" t="inlineStr">
        <is>
          <t>Normal</t>
        </is>
      </c>
    </row>
    <row r="402">
      <c r="A402" s="6" t="n">
        <v>45810</v>
      </c>
      <c r="B402" t="inlineStr">
        <is>
          <t>Local Currency</t>
        </is>
      </c>
      <c r="C402" s="9" t="n">
        <v>-0.002557</v>
      </c>
      <c r="D402" s="12" t="n">
        <v>1039.28</v>
      </c>
      <c r="E402" s="15" t="n">
        <v>0.004393</v>
      </c>
      <c r="F402" s="18" t="n">
        <v>-0.002557</v>
      </c>
      <c r="G402" t="inlineStr">
        <is>
          <t>Normal</t>
        </is>
      </c>
    </row>
    <row r="403">
      <c r="A403" s="6" t="n">
        <v>45811</v>
      </c>
      <c r="B403" t="inlineStr">
        <is>
          <t>Hard Currency</t>
        </is>
      </c>
      <c r="C403" s="9" t="n">
        <v>0.001254</v>
      </c>
      <c r="D403" s="12" t="n">
        <v>1011.14</v>
      </c>
      <c r="E403" s="15" t="n">
        <v>0.004782</v>
      </c>
      <c r="F403" s="18" t="n">
        <v>0.001254</v>
      </c>
      <c r="G403" t="inlineStr">
        <is>
          <t>Normal</t>
        </is>
      </c>
    </row>
    <row r="404">
      <c r="A404" s="6" t="n">
        <v>45811</v>
      </c>
      <c r="B404" t="inlineStr">
        <is>
          <t>Local Currency</t>
        </is>
      </c>
      <c r="C404" s="9" t="n">
        <v>0.002032</v>
      </c>
      <c r="D404" s="12" t="n">
        <v>1041.4</v>
      </c>
      <c r="E404" s="15" t="n">
        <v>0.004224</v>
      </c>
      <c r="F404" s="18" t="n">
        <v>0.002032</v>
      </c>
      <c r="G404" t="inlineStr">
        <is>
          <t>Normal</t>
        </is>
      </c>
    </row>
    <row r="405">
      <c r="A405" s="6" t="n">
        <v>45812</v>
      </c>
      <c r="B405" t="inlineStr">
        <is>
          <t>Hard Currency</t>
        </is>
      </c>
      <c r="C405" s="9" t="n">
        <v>-0.001368</v>
      </c>
      <c r="D405" s="12" t="n">
        <v>1009.76</v>
      </c>
      <c r="E405" s="15" t="n">
        <v>0.004782</v>
      </c>
      <c r="F405" s="18" t="n">
        <v>-0.001368</v>
      </c>
      <c r="G405" t="inlineStr">
        <is>
          <t>Normal</t>
        </is>
      </c>
    </row>
    <row r="406">
      <c r="A406" s="6" t="n">
        <v>45812</v>
      </c>
      <c r="B406" t="inlineStr">
        <is>
          <t>Local Currency</t>
        </is>
      </c>
      <c r="C406" s="9" t="n">
        <v>0.001439</v>
      </c>
      <c r="D406" s="12" t="n">
        <v>1042.89</v>
      </c>
      <c r="E406" s="15" t="n">
        <v>0.004224</v>
      </c>
      <c r="F406" s="18" t="n">
        <v>0.001439</v>
      </c>
      <c r="G406" t="inlineStr">
        <is>
          <t>Normal</t>
        </is>
      </c>
    </row>
    <row r="407">
      <c r="A407" s="6" t="n">
        <v>45813</v>
      </c>
      <c r="B407" t="inlineStr">
        <is>
          <t>Hard Currency</t>
        </is>
      </c>
      <c r="C407" s="9" t="n">
        <v>-0.002113</v>
      </c>
      <c r="D407" s="12" t="n">
        <v>1007.62</v>
      </c>
      <c r="E407" s="15" t="n">
        <v>0.004782</v>
      </c>
      <c r="F407" s="18" t="n">
        <v>-0.002113</v>
      </c>
      <c r="G407" t="inlineStr">
        <is>
          <t>Normal</t>
        </is>
      </c>
    </row>
    <row r="408">
      <c r="A408" s="6" t="n">
        <v>45813</v>
      </c>
      <c r="B408" t="inlineStr">
        <is>
          <t>Local Currency</t>
        </is>
      </c>
      <c r="C408" s="9" t="n">
        <v>-0.002356</v>
      </c>
      <c r="D408" s="12" t="n">
        <v>1040.44</v>
      </c>
      <c r="E408" s="15" t="n">
        <v>0.004224</v>
      </c>
      <c r="F408" s="18" t="n">
        <v>-0.002356</v>
      </c>
      <c r="G408" t="inlineStr">
        <is>
          <t>Normal</t>
        </is>
      </c>
    </row>
    <row r="409">
      <c r="A409" s="6" t="n">
        <v>45814</v>
      </c>
      <c r="B409" t="inlineStr">
        <is>
          <t>Hard Currency</t>
        </is>
      </c>
      <c r="C409" s="9" t="n">
        <v>-0.002095</v>
      </c>
      <c r="D409" s="12" t="n">
        <v>1005.51</v>
      </c>
      <c r="E409" s="15" t="n">
        <v>0.004782</v>
      </c>
      <c r="F409" s="18" t="n">
        <v>-0.002095</v>
      </c>
      <c r="G409" t="inlineStr">
        <is>
          <t>Normal</t>
        </is>
      </c>
    </row>
    <row r="410">
      <c r="A410" s="6" t="n">
        <v>45814</v>
      </c>
      <c r="B410" t="inlineStr">
        <is>
          <t>Local Currency</t>
        </is>
      </c>
      <c r="C410" s="9" t="n">
        <v>-0.001274</v>
      </c>
      <c r="D410" s="12" t="n">
        <v>1039.11</v>
      </c>
      <c r="E410" s="15" t="n">
        <v>0.004224</v>
      </c>
      <c r="F410" s="18" t="n">
        <v>-0.001274</v>
      </c>
      <c r="G410" t="inlineStr">
        <is>
          <t>Normal</t>
        </is>
      </c>
    </row>
    <row r="411">
      <c r="A411" s="6" t="n">
        <v>45818</v>
      </c>
      <c r="B411" t="inlineStr">
        <is>
          <t>Hard Currency</t>
        </is>
      </c>
      <c r="C411" s="9" t="n">
        <v>0.000721</v>
      </c>
      <c r="D411" s="12" t="n">
        <v>1006.24</v>
      </c>
      <c r="E411" s="15" t="n">
        <v>0.004782</v>
      </c>
      <c r="F411" s="18" t="n">
        <v>0.000721</v>
      </c>
      <c r="G411" t="inlineStr">
        <is>
          <t>Normal</t>
        </is>
      </c>
    </row>
    <row r="412">
      <c r="A412" s="6" t="n">
        <v>45818</v>
      </c>
      <c r="B412" t="inlineStr">
        <is>
          <t>Local Currency</t>
        </is>
      </c>
      <c r="C412" s="9" t="n">
        <v>0.002491</v>
      </c>
      <c r="D412" s="12" t="n">
        <v>1041.7</v>
      </c>
      <c r="E412" s="15" t="n">
        <v>0.004224</v>
      </c>
      <c r="F412" s="18" t="n">
        <v>0.002491</v>
      </c>
      <c r="G412" t="inlineStr">
        <is>
          <t>Normal</t>
        </is>
      </c>
    </row>
    <row r="413">
      <c r="A413" s="6" t="n">
        <v>45819</v>
      </c>
      <c r="B413" t="inlineStr">
        <is>
          <t>Hard Currency</t>
        </is>
      </c>
      <c r="C413" s="9" t="n">
        <v>-0.002943</v>
      </c>
      <c r="D413" s="12" t="n">
        <v>1003.28</v>
      </c>
      <c r="E413" s="15" t="n">
        <v>0.004782</v>
      </c>
      <c r="F413" s="18" t="n">
        <v>-0.002943</v>
      </c>
      <c r="G413" t="inlineStr">
        <is>
          <t>Risk-On</t>
        </is>
      </c>
    </row>
    <row r="414">
      <c r="A414" s="6" t="n">
        <v>45819</v>
      </c>
      <c r="B414" t="inlineStr">
        <is>
          <t>Local Currency</t>
        </is>
      </c>
      <c r="C414" s="9" t="n">
        <v>-0.001352</v>
      </c>
      <c r="D414" s="12" t="n">
        <v>1040.29</v>
      </c>
      <c r="E414" s="15" t="n">
        <v>0.004224</v>
      </c>
      <c r="F414" s="18" t="n">
        <v>-0.001352</v>
      </c>
      <c r="G414" t="inlineStr">
        <is>
          <t>Risk-On</t>
        </is>
      </c>
    </row>
    <row r="415">
      <c r="A415" s="6" t="n">
        <v>45820</v>
      </c>
      <c r="B415" t="inlineStr">
        <is>
          <t>Hard Currency</t>
        </is>
      </c>
      <c r="C415" s="9" t="n">
        <v>-4.4e-05</v>
      </c>
      <c r="D415" s="12" t="n">
        <v>1003.23</v>
      </c>
      <c r="E415" s="15" t="n">
        <v>0.004782</v>
      </c>
      <c r="F415" s="18" t="n">
        <v>-4.4e-05</v>
      </c>
      <c r="G415" t="inlineStr">
        <is>
          <t>Risk-On</t>
        </is>
      </c>
    </row>
    <row r="416">
      <c r="A416" s="6" t="n">
        <v>45820</v>
      </c>
      <c r="B416" t="inlineStr">
        <is>
          <t>Local Currency</t>
        </is>
      </c>
      <c r="C416" s="9" t="n">
        <v>0.001177</v>
      </c>
      <c r="D416" s="12" t="n">
        <v>1041.52</v>
      </c>
      <c r="E416" s="15" t="n">
        <v>0.004224</v>
      </c>
      <c r="F416" s="18" t="n">
        <v>0.001177</v>
      </c>
      <c r="G416" t="inlineStr">
        <is>
          <t>Risk-On</t>
        </is>
      </c>
    </row>
    <row r="417">
      <c r="A417" s="6" t="n">
        <v>45826</v>
      </c>
      <c r="B417" t="inlineStr">
        <is>
          <t>Hard Currency</t>
        </is>
      </c>
      <c r="C417" s="9" t="n">
        <v>0.002711</v>
      </c>
      <c r="D417" s="12" t="n">
        <v>1005.95</v>
      </c>
      <c r="E417" s="15" t="n">
        <v>0.004782</v>
      </c>
      <c r="F417" s="18" t="n">
        <v>0.002711</v>
      </c>
      <c r="G417" t="inlineStr">
        <is>
          <t>Risk-On</t>
        </is>
      </c>
    </row>
    <row r="418">
      <c r="A418" s="6" t="n">
        <v>45826</v>
      </c>
      <c r="B418" t="inlineStr">
        <is>
          <t>Local Currency</t>
        </is>
      </c>
      <c r="C418" s="9" t="n">
        <v>0.000795</v>
      </c>
      <c r="D418" s="12" t="n">
        <v>1042.34</v>
      </c>
      <c r="E418" s="15" t="n">
        <v>0.004224</v>
      </c>
      <c r="F418" s="18" t="n">
        <v>0.000795</v>
      </c>
      <c r="G418" t="inlineStr">
        <is>
          <t>Risk-On</t>
        </is>
      </c>
    </row>
    <row r="419">
      <c r="A419" s="6" t="n">
        <v>45828</v>
      </c>
      <c r="B419" t="inlineStr">
        <is>
          <t>Hard Currency</t>
        </is>
      </c>
      <c r="C419" s="9" t="n">
        <v>0.001749</v>
      </c>
      <c r="D419" s="12" t="n">
        <v>1007.71</v>
      </c>
      <c r="E419" s="15" t="n">
        <v>0.004782</v>
      </c>
      <c r="F419" s="18" t="n">
        <v>0.001749</v>
      </c>
      <c r="G419" t="inlineStr">
        <is>
          <t>Risk-On</t>
        </is>
      </c>
    </row>
    <row r="420">
      <c r="A420" s="6" t="n">
        <v>45828</v>
      </c>
      <c r="B420" t="inlineStr">
        <is>
          <t>Local Currency</t>
        </is>
      </c>
      <c r="C420" s="9" t="n">
        <v>0.002284</v>
      </c>
      <c r="D420" s="12" t="n">
        <v>1044.72</v>
      </c>
      <c r="E420" s="15" t="n">
        <v>0.004224</v>
      </c>
      <c r="F420" s="18" t="n">
        <v>0.002284</v>
      </c>
      <c r="G420" t="inlineStr">
        <is>
          <t>Risk-On</t>
        </is>
      </c>
    </row>
    <row r="421">
      <c r="A421" s="6" t="n">
        <v>45831</v>
      </c>
      <c r="B421" t="inlineStr">
        <is>
          <t>Local Currency</t>
        </is>
      </c>
      <c r="C421" s="9" t="n">
        <v>0.000262</v>
      </c>
      <c r="D421" s="12" t="n">
        <v>1045</v>
      </c>
      <c r="E421" s="15" t="n">
        <v>0.004224</v>
      </c>
      <c r="F421" s="18" t="n">
        <v>0.000262</v>
      </c>
      <c r="G421" t="inlineStr">
        <is>
          <t>Risk-On</t>
        </is>
      </c>
    </row>
    <row r="422">
      <c r="A422" s="6" t="n">
        <v>45832</v>
      </c>
      <c r="B422" t="inlineStr">
        <is>
          <t>Hard Currency</t>
        </is>
      </c>
      <c r="C422" s="9" t="n">
        <v>0.002861</v>
      </c>
      <c r="D422" s="12" t="n">
        <v>1010.6</v>
      </c>
      <c r="E422" s="15" t="n">
        <v>0.004782</v>
      </c>
      <c r="F422" s="18" t="n">
        <v>0.002861</v>
      </c>
      <c r="G422" t="inlineStr">
        <is>
          <t>Normal</t>
        </is>
      </c>
    </row>
    <row r="423">
      <c r="A423" s="6" t="n">
        <v>45832</v>
      </c>
      <c r="B423" t="inlineStr">
        <is>
          <t>Local Currency</t>
        </is>
      </c>
      <c r="C423" s="9" t="n">
        <v>0.001188</v>
      </c>
      <c r="D423" s="12" t="n">
        <v>1046.24</v>
      </c>
      <c r="E423" s="15" t="n">
        <v>0.004224</v>
      </c>
      <c r="F423" s="18" t="n">
        <v>0.001188</v>
      </c>
      <c r="G423" t="inlineStr">
        <is>
          <t>Normal</t>
        </is>
      </c>
    </row>
    <row r="424">
      <c r="A424" s="6" t="n">
        <v>45833</v>
      </c>
      <c r="B424" t="inlineStr">
        <is>
          <t>Hard Currency</t>
        </is>
      </c>
      <c r="C424" s="9" t="n">
        <v>0.001422</v>
      </c>
      <c r="D424" s="12" t="n">
        <v>1012.03</v>
      </c>
      <c r="E424" s="15" t="n">
        <v>0.004782</v>
      </c>
      <c r="F424" s="18" t="n">
        <v>0.001422</v>
      </c>
      <c r="G424" t="inlineStr">
        <is>
          <t>Normal</t>
        </is>
      </c>
    </row>
    <row r="425">
      <c r="A425" s="6" t="n">
        <v>45833</v>
      </c>
      <c r="B425" t="inlineStr">
        <is>
          <t>Local Currency</t>
        </is>
      </c>
      <c r="C425" s="9" t="n">
        <v>0.00172</v>
      </c>
      <c r="D425" s="12" t="n">
        <v>1048.04</v>
      </c>
      <c r="E425" s="15" t="n">
        <v>0.004224</v>
      </c>
      <c r="F425" s="18" t="n">
        <v>0.00172</v>
      </c>
      <c r="G425" t="inlineStr">
        <is>
          <t>Normal</t>
        </is>
      </c>
    </row>
    <row r="426">
      <c r="A426" s="6" t="n">
        <v>45834</v>
      </c>
      <c r="B426" t="inlineStr">
        <is>
          <t>Hard Currency</t>
        </is>
      </c>
      <c r="C426" s="9" t="n">
        <v>0.002946</v>
      </c>
      <c r="D426" s="12" t="n">
        <v>1015.01</v>
      </c>
      <c r="E426" s="15" t="n">
        <v>0.004782</v>
      </c>
      <c r="F426" s="18" t="n">
        <v>0.002946</v>
      </c>
      <c r="G426" t="inlineStr">
        <is>
          <t>Risk-On</t>
        </is>
      </c>
    </row>
    <row r="427">
      <c r="A427" s="6" t="n">
        <v>45834</v>
      </c>
      <c r="B427" t="inlineStr">
        <is>
          <t>Local Currency</t>
        </is>
      </c>
      <c r="C427" s="9" t="n">
        <v>0.001477</v>
      </c>
      <c r="D427" s="12" t="n">
        <v>1049.59</v>
      </c>
      <c r="E427" s="15" t="n">
        <v>0.004224</v>
      </c>
      <c r="F427" s="18" t="n">
        <v>0.001477</v>
      </c>
      <c r="G427" t="inlineStr">
        <is>
          <t>Risk-On</t>
        </is>
      </c>
    </row>
    <row r="428">
      <c r="A428" s="6" t="n">
        <v>45835</v>
      </c>
      <c r="B428" t="inlineStr">
        <is>
          <t>Hard Currency</t>
        </is>
      </c>
      <c r="C428" s="9" t="n">
        <v>-0.001998</v>
      </c>
      <c r="D428" s="12" t="n">
        <v>1012.99</v>
      </c>
      <c r="E428" s="15" t="n">
        <v>0.004782</v>
      </c>
      <c r="F428" s="18" t="n">
        <v>-0.001998</v>
      </c>
      <c r="G428" t="inlineStr">
        <is>
          <t>Risk-On</t>
        </is>
      </c>
    </row>
    <row r="429">
      <c r="A429" s="6" t="n">
        <v>45835</v>
      </c>
      <c r="B429" t="inlineStr">
        <is>
          <t>Local Currency</t>
        </is>
      </c>
      <c r="C429" s="9" t="n">
        <v>0.000375</v>
      </c>
      <c r="D429" s="12" t="n">
        <v>1049.98</v>
      </c>
      <c r="E429" s="15" t="n">
        <v>0.004224</v>
      </c>
      <c r="F429" s="18" t="n">
        <v>0.000375</v>
      </c>
      <c r="G429" t="inlineStr">
        <is>
          <t>Risk-On</t>
        </is>
      </c>
    </row>
    <row r="430">
      <c r="A430" s="6" t="n">
        <v>45840</v>
      </c>
      <c r="B430" t="inlineStr">
        <is>
          <t>Hard Currency</t>
        </is>
      </c>
      <c r="C430" s="9" t="n">
        <v>-0.000503</v>
      </c>
      <c r="D430" s="12" t="n">
        <v>1012.48</v>
      </c>
      <c r="E430" s="15" t="n">
        <v>0.004782</v>
      </c>
      <c r="F430" s="18" t="n">
        <v>-0.000503</v>
      </c>
      <c r="G430" t="inlineStr">
        <is>
          <t>Risk-On</t>
        </is>
      </c>
    </row>
    <row r="431">
      <c r="A431" s="6" t="n">
        <v>45840</v>
      </c>
      <c r="B431" t="inlineStr">
        <is>
          <t>Local Currency</t>
        </is>
      </c>
      <c r="C431" s="9" t="n">
        <v>-9.8e-05</v>
      </c>
      <c r="D431" s="12" t="n">
        <v>1049.88</v>
      </c>
      <c r="E431" s="15" t="n">
        <v>0.004224</v>
      </c>
      <c r="F431" s="18" t="n">
        <v>-9.8e-05</v>
      </c>
      <c r="G431" t="inlineStr">
        <is>
          <t>Risk-On</t>
        </is>
      </c>
    </row>
    <row r="432">
      <c r="A432" s="6" t="n">
        <v>45841</v>
      </c>
      <c r="B432" t="inlineStr">
        <is>
          <t>Hard Currency</t>
        </is>
      </c>
      <c r="C432" s="9" t="n">
        <v>0.002082</v>
      </c>
      <c r="D432" s="12" t="n">
        <v>1014.58</v>
      </c>
      <c r="E432" s="15" t="n">
        <v>0.004782</v>
      </c>
      <c r="F432" s="18" t="n">
        <v>0.002082</v>
      </c>
      <c r="G432" t="inlineStr">
        <is>
          <t>Risk-On</t>
        </is>
      </c>
    </row>
    <row r="433">
      <c r="A433" s="6" t="n">
        <v>45841</v>
      </c>
      <c r="B433" t="inlineStr">
        <is>
          <t>Local Currency</t>
        </is>
      </c>
      <c r="C433" s="9" t="n">
        <v>0.001129</v>
      </c>
      <c r="D433" s="12" t="n">
        <v>1051.06</v>
      </c>
      <c r="E433" s="15" t="n">
        <v>0.004224</v>
      </c>
      <c r="F433" s="18" t="n">
        <v>0.001129</v>
      </c>
      <c r="G433" t="inlineStr">
        <is>
          <t>Risk-On</t>
        </is>
      </c>
    </row>
    <row r="434">
      <c r="A434" s="6" t="n">
        <v>45842</v>
      </c>
      <c r="B434" t="inlineStr">
        <is>
          <t>Hard Currency</t>
        </is>
      </c>
      <c r="C434" s="9" t="n">
        <v>-0.000935</v>
      </c>
      <c r="D434" s="12" t="n">
        <v>1013.64</v>
      </c>
      <c r="E434" s="15" t="n">
        <v>0.004782</v>
      </c>
      <c r="F434" s="18" t="n">
        <v>-0.000935</v>
      </c>
      <c r="G434" t="inlineStr">
        <is>
          <t>Risk-On</t>
        </is>
      </c>
    </row>
    <row r="435">
      <c r="A435" s="6" t="n">
        <v>45842</v>
      </c>
      <c r="B435" t="inlineStr">
        <is>
          <t>Local Currency</t>
        </is>
      </c>
      <c r="C435" s="9" t="n">
        <v>-0.001144</v>
      </c>
      <c r="D435" s="12" t="n">
        <v>1049.86</v>
      </c>
      <c r="E435" s="15" t="n">
        <v>0.004224</v>
      </c>
      <c r="F435" s="18" t="n">
        <v>-0.001144</v>
      </c>
      <c r="G435" t="inlineStr">
        <is>
          <t>Risk-On</t>
        </is>
      </c>
    </row>
    <row r="436">
      <c r="A436" s="6" t="n">
        <v>45847</v>
      </c>
      <c r="B436" t="inlineStr">
        <is>
          <t>Local Currency</t>
        </is>
      </c>
      <c r="C436" s="9" t="n">
        <v>0.002129</v>
      </c>
      <c r="D436" s="12" t="n">
        <v>1052.1</v>
      </c>
      <c r="E436" s="15" t="n">
        <v>0.004224</v>
      </c>
      <c r="F436" s="18" t="n">
        <v>0.002129</v>
      </c>
      <c r="G436" t="inlineStr">
        <is>
          <t>Risk-On</t>
        </is>
      </c>
    </row>
    <row r="437">
      <c r="A437" s="6" t="n">
        <v>45848</v>
      </c>
      <c r="B437" t="inlineStr">
        <is>
          <t>Hard Currency</t>
        </is>
      </c>
      <c r="C437" s="9" t="n">
        <v>0.000961</v>
      </c>
      <c r="D437" s="12" t="n">
        <v>1014.61</v>
      </c>
      <c r="E437" s="15" t="n">
        <v>0.004782</v>
      </c>
      <c r="F437" s="18" t="n">
        <v>0.000961</v>
      </c>
      <c r="G437" t="inlineStr">
        <is>
          <t>Normal</t>
        </is>
      </c>
    </row>
    <row r="438">
      <c r="A438" s="6" t="n">
        <v>45848</v>
      </c>
      <c r="B438" t="inlineStr">
        <is>
          <t>Local Currency</t>
        </is>
      </c>
      <c r="C438" s="9" t="n">
        <v>-0.000906</v>
      </c>
      <c r="D438" s="12" t="n">
        <v>1051.14</v>
      </c>
      <c r="E438" s="15" t="n">
        <v>0.004224</v>
      </c>
      <c r="F438" s="18" t="n">
        <v>-0.000906</v>
      </c>
      <c r="G438" t="inlineStr">
        <is>
          <t>Normal</t>
        </is>
      </c>
    </row>
    <row r="439">
      <c r="A439" s="6" t="n">
        <v>45849</v>
      </c>
      <c r="B439" t="inlineStr">
        <is>
          <t>Hard Currency</t>
        </is>
      </c>
      <c r="C439" s="9" t="n">
        <v>-0.000674</v>
      </c>
      <c r="D439" s="12" t="n">
        <v>1013.93</v>
      </c>
      <c r="E439" s="15" t="n">
        <v>0.004782</v>
      </c>
      <c r="F439" s="18" t="n">
        <v>-0.000674</v>
      </c>
      <c r="G439" t="inlineStr">
        <is>
          <t>Risk-On</t>
        </is>
      </c>
    </row>
    <row r="440">
      <c r="A440" s="6" t="n">
        <v>45849</v>
      </c>
      <c r="B440" t="inlineStr">
        <is>
          <t>Local Currency</t>
        </is>
      </c>
      <c r="C440" s="9" t="n">
        <v>-0.000598</v>
      </c>
      <c r="D440" s="12" t="n">
        <v>1050.51</v>
      </c>
      <c r="E440" s="15" t="n">
        <v>0.004224</v>
      </c>
      <c r="F440" s="18" t="n">
        <v>-0.000598</v>
      </c>
      <c r="G440" t="inlineStr">
        <is>
          <t>Risk-On</t>
        </is>
      </c>
    </row>
    <row r="441">
      <c r="A441" s="6" t="n">
        <v>45882</v>
      </c>
      <c r="B441" t="inlineStr">
        <is>
          <t>Hard Currency</t>
        </is>
      </c>
      <c r="C441" s="9" t="n">
        <v>-0.00043</v>
      </c>
      <c r="D441" s="12" t="n">
        <v>1013.49</v>
      </c>
      <c r="E441" s="15" t="n">
        <v>0.004782</v>
      </c>
      <c r="F441" s="18" t="n">
        <v>-0.00043</v>
      </c>
      <c r="G441" t="inlineStr">
        <is>
          <t>Risk-On</t>
        </is>
      </c>
    </row>
    <row r="442">
      <c r="A442" s="6" t="n">
        <v>45882</v>
      </c>
      <c r="B442" t="inlineStr">
        <is>
          <t>Local Currency</t>
        </is>
      </c>
      <c r="C442" s="9" t="n">
        <v>0.000601</v>
      </c>
      <c r="D442" s="12" t="n">
        <v>1051.15</v>
      </c>
      <c r="E442" s="15" t="n">
        <v>0.004224</v>
      </c>
      <c r="F442" s="18" t="n">
        <v>0.000601</v>
      </c>
      <c r="G442" t="inlineStr">
        <is>
          <t>Risk-On</t>
        </is>
      </c>
    </row>
    <row r="443">
      <c r="A443" s="6" t="n">
        <v>45923</v>
      </c>
      <c r="B443" t="inlineStr">
        <is>
          <t>Hard Currency</t>
        </is>
      </c>
      <c r="C443" s="9" t="n">
        <v>0.002179</v>
      </c>
      <c r="D443" s="12" t="n">
        <v>1015.7</v>
      </c>
      <c r="E443" s="15" t="n">
        <v>0.004782</v>
      </c>
      <c r="F443" s="18" t="n">
        <v>0.002179</v>
      </c>
      <c r="G443" t="inlineStr">
        <is>
          <t>Risk-On</t>
        </is>
      </c>
    </row>
    <row r="444">
      <c r="A444" s="6" t="n">
        <v>45923</v>
      </c>
      <c r="B444" t="inlineStr">
        <is>
          <t>Local Currency</t>
        </is>
      </c>
      <c r="C444" s="9" t="n">
        <v>0.001924</v>
      </c>
      <c r="D444" s="12" t="n">
        <v>1053.17</v>
      </c>
      <c r="E444" s="15" t="n">
        <v>0.004224</v>
      </c>
      <c r="F444" s="18" t="n">
        <v>0.001924</v>
      </c>
      <c r="G444" t="inlineStr">
        <is>
          <t>Risk-On</t>
        </is>
      </c>
    </row>
    <row r="445">
      <c r="A445" s="6" t="n">
        <v>45925</v>
      </c>
      <c r="B445" t="inlineStr">
        <is>
          <t>Hard Currency</t>
        </is>
      </c>
      <c r="C445" s="9" t="n">
        <v>-0.000781</v>
      </c>
      <c r="D445" s="12" t="n">
        <v>1014.9</v>
      </c>
      <c r="E445" s="15" t="n">
        <v>0.004782</v>
      </c>
      <c r="F445" s="18" t="n">
        <v>-0.000781</v>
      </c>
      <c r="G445" t="inlineStr">
        <is>
          <t>Risk-On</t>
        </is>
      </c>
    </row>
    <row r="446">
      <c r="A446" s="6" t="n">
        <v>45925</v>
      </c>
      <c r="B446" t="inlineStr">
        <is>
          <t>Local Currency</t>
        </is>
      </c>
      <c r="C446" s="9" t="n">
        <v>-0.001626</v>
      </c>
      <c r="D446" s="12" t="n">
        <v>1051.46</v>
      </c>
      <c r="E446" s="15" t="n">
        <v>0.004224</v>
      </c>
      <c r="F446" s="18" t="n">
        <v>-0.001626</v>
      </c>
      <c r="G446" t="inlineStr">
        <is>
          <t>Risk-On</t>
        </is>
      </c>
    </row>
    <row r="447">
      <c r="A447" s="6" t="n">
        <v>45926</v>
      </c>
      <c r="B447" t="inlineStr">
        <is>
          <t>Hard Currency</t>
        </is>
      </c>
      <c r="C447" s="9" t="n">
        <v>-0.000762</v>
      </c>
      <c r="D447" s="12" t="n">
        <v>1014.13</v>
      </c>
      <c r="E447" s="15" t="n">
        <v>0.004732</v>
      </c>
      <c r="F447" s="18" t="n">
        <v>-0.000762</v>
      </c>
      <c r="G447" t="inlineStr">
        <is>
          <t>Risk-On</t>
        </is>
      </c>
    </row>
    <row r="448">
      <c r="A448" s="6" t="n">
        <v>45926</v>
      </c>
      <c r="B448" t="inlineStr">
        <is>
          <t>Local Currency</t>
        </is>
      </c>
      <c r="C448" s="9" t="n">
        <v>-0.000182</v>
      </c>
      <c r="D448" s="12" t="n">
        <v>1051.26</v>
      </c>
      <c r="E448" s="15" t="n">
        <v>0.004224</v>
      </c>
      <c r="F448" s="18" t="n">
        <v>-0.000182</v>
      </c>
      <c r="G448" t="inlineStr">
        <is>
          <t>Risk-On</t>
        </is>
      </c>
    </row>
    <row r="449">
      <c r="A449" s="6" t="n">
        <v>45929</v>
      </c>
      <c r="B449" t="inlineStr">
        <is>
          <t>Hard Currency</t>
        </is>
      </c>
      <c r="C449" s="9" t="n">
        <v>0.000532</v>
      </c>
      <c r="D449" s="12" t="n">
        <v>1014.67</v>
      </c>
      <c r="E449" s="15" t="n">
        <v>0.004732</v>
      </c>
      <c r="F449" s="18" t="n">
        <v>0.000532</v>
      </c>
      <c r="G449" t="inlineStr">
        <is>
          <t>Risk-On</t>
        </is>
      </c>
    </row>
    <row r="450">
      <c r="A450" s="6" t="n">
        <v>45929</v>
      </c>
      <c r="B450" t="inlineStr">
        <is>
          <t>Local Currency</t>
        </is>
      </c>
      <c r="C450" s="9" t="n">
        <v>-0.001243</v>
      </c>
      <c r="D450" s="12" t="n">
        <v>1049.96</v>
      </c>
      <c r="E450" s="15" t="n">
        <v>0.004224</v>
      </c>
      <c r="F450" s="18" t="n">
        <v>-0.001243</v>
      </c>
      <c r="G450" t="inlineStr">
        <is>
          <t>Risk-On</t>
        </is>
      </c>
    </row>
    <row r="451">
      <c r="A451" s="6" t="n">
        <v>45930</v>
      </c>
      <c r="B451" t="inlineStr">
        <is>
          <t>Hard Currency</t>
        </is>
      </c>
      <c r="C451" s="9" t="n">
        <v>0.00109</v>
      </c>
      <c r="D451" s="12" t="n">
        <v>1015.78</v>
      </c>
      <c r="E451" s="15" t="n">
        <v>0.004732</v>
      </c>
      <c r="F451" s="18" t="n">
        <v>0.00109</v>
      </c>
      <c r="G451" t="inlineStr">
        <is>
          <t>Risk-On</t>
        </is>
      </c>
    </row>
    <row r="452">
      <c r="A452" s="6" t="n">
        <v>45930</v>
      </c>
      <c r="B452" t="inlineStr">
        <is>
          <t>Local Currency</t>
        </is>
      </c>
      <c r="C452" s="9" t="n">
        <v>0.001149</v>
      </c>
      <c r="D452" s="12" t="n">
        <v>1051.16</v>
      </c>
      <c r="E452" s="15" t="n">
        <v>0.004224</v>
      </c>
      <c r="F452" s="18" t="n">
        <v>0.001149</v>
      </c>
      <c r="G452" t="inlineStr">
        <is>
          <t>Risk-On</t>
        </is>
      </c>
    </row>
    <row r="453">
      <c r="A453" s="6" t="n">
        <v>45931</v>
      </c>
      <c r="B453" t="inlineStr">
        <is>
          <t>Hard Currency</t>
        </is>
      </c>
      <c r="C453" s="9" t="n">
        <v>0.000694</v>
      </c>
      <c r="D453" s="12" t="n">
        <v>1016.48</v>
      </c>
      <c r="E453" s="15" t="n">
        <v>0.004732</v>
      </c>
      <c r="F453" s="18" t="n">
        <v>0.000694</v>
      </c>
      <c r="G453" t="inlineStr">
        <is>
          <t>Risk-On</t>
        </is>
      </c>
    </row>
    <row r="454">
      <c r="A454" s="6" t="n">
        <v>45931</v>
      </c>
      <c r="B454" t="inlineStr">
        <is>
          <t>Local Currency</t>
        </is>
      </c>
      <c r="C454" s="9" t="n">
        <v>0.000119</v>
      </c>
      <c r="D454" s="12" t="n">
        <v>1051.29</v>
      </c>
      <c r="E454" s="15" t="n">
        <v>0.004224</v>
      </c>
      <c r="F454" s="18" t="n">
        <v>0.000119</v>
      </c>
      <c r="G454" t="inlineStr">
        <is>
          <t>Risk-On</t>
        </is>
      </c>
    </row>
    <row r="455">
      <c r="A455" s="6" t="n">
        <v>45932</v>
      </c>
      <c r="B455" t="inlineStr">
        <is>
          <t>Hard Currency</t>
        </is>
      </c>
      <c r="C455" s="9" t="n">
        <v>-0.001042</v>
      </c>
      <c r="D455" s="12" t="n">
        <v>1015.42</v>
      </c>
      <c r="E455" s="15" t="n">
        <v>0.004732</v>
      </c>
      <c r="F455" s="18" t="n">
        <v>-0.001042</v>
      </c>
      <c r="G455" t="inlineStr">
        <is>
          <t>Risk-On</t>
        </is>
      </c>
    </row>
    <row r="456">
      <c r="A456" s="6" t="n">
        <v>45932</v>
      </c>
      <c r="B456" t="inlineStr">
        <is>
          <t>Local Currency</t>
        </is>
      </c>
      <c r="C456" s="9" t="n">
        <v>-0.001825</v>
      </c>
      <c r="D456" s="12" t="n">
        <v>1049.37</v>
      </c>
      <c r="E456" s="15" t="n">
        <v>0.004083</v>
      </c>
      <c r="F456" s="18" t="n">
        <v>-0.001825</v>
      </c>
      <c r="G456" t="inlineStr">
        <is>
          <t>Risk-On</t>
        </is>
      </c>
    </row>
    <row r="457">
      <c r="A457" s="6" t="n">
        <v>45933</v>
      </c>
      <c r="B457" t="inlineStr">
        <is>
          <t>Hard Currency</t>
        </is>
      </c>
      <c r="C457" s="9" t="n">
        <v>-0.001227</v>
      </c>
      <c r="D457" s="12" t="n">
        <v>1014.18</v>
      </c>
      <c r="E457" s="15" t="n">
        <v>0.004732</v>
      </c>
      <c r="F457" s="18" t="n">
        <v>-0.001227</v>
      </c>
      <c r="G457" t="inlineStr">
        <is>
          <t>Risk-On</t>
        </is>
      </c>
    </row>
    <row r="458">
      <c r="A458" s="6" t="n">
        <v>45933</v>
      </c>
      <c r="B458" t="inlineStr">
        <is>
          <t>Local Currency</t>
        </is>
      </c>
      <c r="C458" s="9" t="n">
        <v>-0.000802</v>
      </c>
      <c r="D458" s="12" t="n">
        <v>1048.53</v>
      </c>
      <c r="E458" s="15" t="n">
        <v>0.004083</v>
      </c>
      <c r="F458" s="18" t="n">
        <v>-0.000802</v>
      </c>
      <c r="G458" t="inlineStr">
        <is>
          <t>Risk-On</t>
        </is>
      </c>
    </row>
    <row r="459">
      <c r="A459" s="6" t="n">
        <v>45936</v>
      </c>
      <c r="B459" t="inlineStr">
        <is>
          <t>Hard Currency</t>
        </is>
      </c>
      <c r="C459" s="9" t="n">
        <v>-0.000845</v>
      </c>
      <c r="D459" s="12" t="n">
        <v>1013.32</v>
      </c>
      <c r="E459" s="15" t="n">
        <v>0.004732</v>
      </c>
      <c r="F459" s="18" t="n">
        <v>-0.000845</v>
      </c>
      <c r="G459" t="inlineStr">
        <is>
          <t>Risk-On</t>
        </is>
      </c>
    </row>
    <row r="460">
      <c r="A460" s="6" t="n">
        <v>45936</v>
      </c>
      <c r="B460" t="inlineStr">
        <is>
          <t>Local Currency</t>
        </is>
      </c>
      <c r="C460" s="9" t="n">
        <v>0.000514</v>
      </c>
      <c r="D460" s="12" t="n">
        <v>1049.07</v>
      </c>
      <c r="E460" s="15" t="n">
        <v>0.004083</v>
      </c>
      <c r="F460" s="18" t="n">
        <v>0.000514</v>
      </c>
      <c r="G460" t="inlineStr">
        <is>
          <t>Risk-On</t>
        </is>
      </c>
    </row>
    <row r="461">
      <c r="A461" s="6" t="n">
        <v>45937</v>
      </c>
      <c r="B461" t="inlineStr">
        <is>
          <t>Hard Currency</t>
        </is>
      </c>
      <c r="C461" s="9" t="n">
        <v>0.000257</v>
      </c>
      <c r="D461" s="12" t="n">
        <v>1013.58</v>
      </c>
      <c r="E461" s="15" t="n">
        <v>0.004732</v>
      </c>
      <c r="F461" s="18" t="n">
        <v>0.000257</v>
      </c>
      <c r="G461" t="inlineStr">
        <is>
          <t>Risk-On</t>
        </is>
      </c>
    </row>
    <row r="462">
      <c r="A462" s="6" t="n">
        <v>45937</v>
      </c>
      <c r="B462" t="inlineStr">
        <is>
          <t>Local Currency</t>
        </is>
      </c>
      <c r="C462" s="9" t="n">
        <v>-0.001735</v>
      </c>
      <c r="D462" s="12" t="n">
        <v>1047.25</v>
      </c>
      <c r="E462" s="15" t="n">
        <v>0.004083</v>
      </c>
      <c r="F462" s="18" t="n">
        <v>-0.001735</v>
      </c>
      <c r="G462" t="inlineStr">
        <is>
          <t>Risk-On</t>
        </is>
      </c>
    </row>
    <row r="463">
      <c r="A463" s="6" t="n">
        <v>45938</v>
      </c>
      <c r="B463" t="inlineStr">
        <is>
          <t>Hard Currency</t>
        </is>
      </c>
      <c r="C463" s="9" t="n">
        <v>0.001435</v>
      </c>
      <c r="D463" s="12" t="n">
        <v>1015.04</v>
      </c>
      <c r="E463" s="15" t="n">
        <v>0.004732</v>
      </c>
      <c r="F463" s="18" t="n">
        <v>0.001435</v>
      </c>
      <c r="G463" t="inlineStr">
        <is>
          <t>Risk-On</t>
        </is>
      </c>
    </row>
    <row r="464">
      <c r="A464" s="6" t="n">
        <v>45938</v>
      </c>
      <c r="B464" t="inlineStr">
        <is>
          <t>Local Currency</t>
        </is>
      </c>
      <c r="C464" s="9" t="n">
        <v>0.001577</v>
      </c>
      <c r="D464" s="12" t="n">
        <v>1048.9</v>
      </c>
      <c r="E464" s="15" t="n">
        <v>0.004019</v>
      </c>
      <c r="F464" s="18" t="n">
        <v>0.001577</v>
      </c>
      <c r="G464" t="inlineStr">
        <is>
          <t>Risk-On</t>
        </is>
      </c>
    </row>
    <row r="465">
      <c r="A465" s="6" t="n">
        <v>45939</v>
      </c>
      <c r="B465" t="inlineStr">
        <is>
          <t>Hard Currency</t>
        </is>
      </c>
      <c r="C465" s="9" t="n">
        <v>-0.000453</v>
      </c>
      <c r="D465" s="12" t="n">
        <v>1014.58</v>
      </c>
      <c r="E465" s="15" t="n">
        <v>0.004732</v>
      </c>
      <c r="F465" s="18" t="n">
        <v>-0.000453</v>
      </c>
      <c r="G465" t="inlineStr">
        <is>
          <t>Risk-On</t>
        </is>
      </c>
    </row>
    <row r="466">
      <c r="A466" s="6" t="n">
        <v>45939</v>
      </c>
      <c r="B466" t="inlineStr">
        <is>
          <t>Local Currency</t>
        </is>
      </c>
      <c r="C466" s="9" t="n">
        <v>0.001875</v>
      </c>
      <c r="D466" s="12" t="n">
        <v>1050.87</v>
      </c>
      <c r="E466" s="15" t="n">
        <v>0.004019</v>
      </c>
      <c r="F466" s="18" t="n">
        <v>0.001875</v>
      </c>
      <c r="G466" t="inlineStr">
        <is>
          <t>Risk-On</t>
        </is>
      </c>
    </row>
    <row r="467">
      <c r="A467" s="6" t="n">
        <v>45940</v>
      </c>
      <c r="B467" t="inlineStr">
        <is>
          <t>Hard Currency</t>
        </is>
      </c>
      <c r="C467" s="9" t="n">
        <v>-0.002874</v>
      </c>
      <c r="D467" s="12" t="n">
        <v>1011.66</v>
      </c>
      <c r="E467" s="15" t="n">
        <v>0.004732</v>
      </c>
      <c r="F467" s="18" t="n">
        <v>-0.002874</v>
      </c>
      <c r="G467" t="inlineStr">
        <is>
          <t>Risk-On</t>
        </is>
      </c>
    </row>
    <row r="468">
      <c r="A468" s="6" t="n">
        <v>45940</v>
      </c>
      <c r="B468" t="inlineStr">
        <is>
          <t>Local Currency</t>
        </is>
      </c>
      <c r="C468" s="9" t="n">
        <v>-0.001363</v>
      </c>
      <c r="D468" s="12" t="n">
        <v>1049.43</v>
      </c>
      <c r="E468" s="15" t="n">
        <v>0.004019</v>
      </c>
      <c r="F468" s="18" t="n">
        <v>-0.001363</v>
      </c>
      <c r="G468" t="inlineStr">
        <is>
          <t>Risk-On</t>
        </is>
      </c>
    </row>
    <row r="469">
      <c r="A469" s="6" t="n">
        <v>45943</v>
      </c>
      <c r="B469" t="inlineStr">
        <is>
          <t>Local Currency</t>
        </is>
      </c>
      <c r="C469" s="9" t="n">
        <v>0.001974</v>
      </c>
      <c r="D469" s="12" t="n">
        <v>1051.51</v>
      </c>
      <c r="E469" s="15" t="n">
        <v>0.004019</v>
      </c>
      <c r="F469" s="18" t="n">
        <v>0.001974</v>
      </c>
      <c r="G469" t="inlineStr">
        <is>
          <t>Risk-On</t>
        </is>
      </c>
    </row>
    <row r="470">
      <c r="A470" s="6" t="n">
        <v>45944</v>
      </c>
      <c r="B470" t="inlineStr">
        <is>
          <t>Hard Currency</t>
        </is>
      </c>
      <c r="C470" s="9" t="n">
        <v>0.001889</v>
      </c>
      <c r="D470" s="12" t="n">
        <v>1013.57</v>
      </c>
      <c r="E470" s="15" t="n">
        <v>0.004732</v>
      </c>
      <c r="F470" s="18" t="n">
        <v>0.001889</v>
      </c>
      <c r="G470" t="inlineStr">
        <is>
          <t>Risk-On</t>
        </is>
      </c>
    </row>
    <row r="471">
      <c r="A471" s="6" t="n">
        <v>45944</v>
      </c>
      <c r="B471" t="inlineStr">
        <is>
          <t>Local Currency</t>
        </is>
      </c>
      <c r="C471" s="9" t="n">
        <v>0.000507</v>
      </c>
      <c r="D471" s="12" t="n">
        <v>1052.04</v>
      </c>
      <c r="E471" s="15" t="n">
        <v>0.004019</v>
      </c>
      <c r="F471" s="18" t="n">
        <v>0.000507</v>
      </c>
      <c r="G471" t="inlineStr">
        <is>
          <t>Risk-On</t>
        </is>
      </c>
    </row>
    <row r="472">
      <c r="A472" s="6" t="n">
        <v>45945</v>
      </c>
      <c r="B472" t="inlineStr">
        <is>
          <t>Hard Currency</t>
        </is>
      </c>
      <c r="C472" s="9" t="n">
        <v>0.001839</v>
      </c>
      <c r="D472" s="12" t="n">
        <v>1015.43</v>
      </c>
      <c r="E472" s="15" t="n">
        <v>0.004732</v>
      </c>
      <c r="F472" s="18" t="n">
        <v>0.001839</v>
      </c>
      <c r="G472" t="inlineStr">
        <is>
          <t>Risk-On</t>
        </is>
      </c>
    </row>
    <row r="473">
      <c r="A473" s="6" t="n">
        <v>45945</v>
      </c>
      <c r="B473" t="inlineStr">
        <is>
          <t>Local Currency</t>
        </is>
      </c>
      <c r="C473" s="9" t="n">
        <v>0.001981</v>
      </c>
      <c r="D473" s="12" t="n">
        <v>1054.12</v>
      </c>
      <c r="E473" s="15" t="n">
        <v>0.004019</v>
      </c>
      <c r="F473" s="18" t="n">
        <v>0.001981</v>
      </c>
      <c r="G473" t="inlineStr">
        <is>
          <t>Risk-On</t>
        </is>
      </c>
    </row>
    <row r="474">
      <c r="A474" s="6" t="n">
        <v>45946</v>
      </c>
      <c r="B474" t="inlineStr">
        <is>
          <t>Hard Currency</t>
        </is>
      </c>
      <c r="C474" s="9" t="n">
        <v>0.001294</v>
      </c>
      <c r="D474" s="12" t="n">
        <v>1016.75</v>
      </c>
      <c r="E474" s="15" t="n">
        <v>0.004732</v>
      </c>
      <c r="F474" s="18" t="n">
        <v>0.001294</v>
      </c>
      <c r="G474" t="inlineStr">
        <is>
          <t>Risk-On</t>
        </is>
      </c>
    </row>
    <row r="475">
      <c r="A475" s="6" t="n">
        <v>45946</v>
      </c>
      <c r="B475" t="inlineStr">
        <is>
          <t>Local Currency</t>
        </is>
      </c>
      <c r="C475" s="9" t="n">
        <v>0.000894</v>
      </c>
      <c r="D475" s="12" t="n">
        <v>1055.06</v>
      </c>
      <c r="E475" s="15" t="n">
        <v>0.003999</v>
      </c>
      <c r="F475" s="18" t="n">
        <v>0.000894</v>
      </c>
      <c r="G475" t="inlineStr">
        <is>
          <t>Risk-On</t>
        </is>
      </c>
    </row>
    <row r="476">
      <c r="A476" s="6" t="n">
        <v>45947</v>
      </c>
      <c r="B476" t="inlineStr">
        <is>
          <t>Hard Currency</t>
        </is>
      </c>
      <c r="C476" s="9" t="n">
        <v>-0.000102</v>
      </c>
      <c r="D476" s="12" t="n">
        <v>1016.64</v>
      </c>
      <c r="E476" s="15" t="n">
        <v>0.004732</v>
      </c>
      <c r="F476" s="18" t="n">
        <v>-0.000102</v>
      </c>
      <c r="G476" t="inlineStr">
        <is>
          <t>Risk-On</t>
        </is>
      </c>
    </row>
    <row r="477">
      <c r="A477" s="6" t="n">
        <v>45947</v>
      </c>
      <c r="B477" t="inlineStr">
        <is>
          <t>Local Currency</t>
        </is>
      </c>
      <c r="C477" s="9" t="n">
        <v>-1.8e-05</v>
      </c>
      <c r="D477" s="12" t="n">
        <v>1055.05</v>
      </c>
      <c r="E477" s="15" t="n">
        <v>0.003999</v>
      </c>
      <c r="F477" s="18" t="n">
        <v>-1.8e-05</v>
      </c>
      <c r="G477" t="inlineStr">
        <is>
          <t>Risk-On</t>
        </is>
      </c>
    </row>
    <row r="478">
      <c r="A478" s="6" t="n">
        <v>45950</v>
      </c>
      <c r="B478" t="inlineStr">
        <is>
          <t>Hard Currency</t>
        </is>
      </c>
      <c r="C478" s="9" t="n">
        <v>-0.001758</v>
      </c>
      <c r="D478" s="12" t="n">
        <v>1014.86</v>
      </c>
      <c r="E478" s="15" t="n">
        <v>0.004732</v>
      </c>
      <c r="F478" s="18" t="n">
        <v>-0.001758</v>
      </c>
      <c r="G478" t="inlineStr">
        <is>
          <t>Risk-On</t>
        </is>
      </c>
    </row>
    <row r="479">
      <c r="A479" s="6" t="n">
        <v>45950</v>
      </c>
      <c r="B479" t="inlineStr">
        <is>
          <t>Local Currency</t>
        </is>
      </c>
      <c r="C479" s="9" t="n">
        <v>0.001698</v>
      </c>
      <c r="D479" s="12" t="n">
        <v>1056.84</v>
      </c>
      <c r="E479" s="15" t="n">
        <v>0.003999</v>
      </c>
      <c r="F479" s="18" t="n">
        <v>0.001698</v>
      </c>
      <c r="G479" t="inlineStr">
        <is>
          <t>Risk-On</t>
        </is>
      </c>
    </row>
    <row r="480">
      <c r="A480" s="6" t="n">
        <v>45951</v>
      </c>
      <c r="B480" t="inlineStr">
        <is>
          <t>Hard Currency</t>
        </is>
      </c>
      <c r="C480" s="9" t="n">
        <v>0.001893</v>
      </c>
      <c r="D480" s="12" t="n">
        <v>1016.78</v>
      </c>
      <c r="E480" s="15" t="n">
        <v>0.004732</v>
      </c>
      <c r="F480" s="18" t="n">
        <v>0.001893</v>
      </c>
      <c r="G480" t="inlineStr">
        <is>
          <t>Risk-On</t>
        </is>
      </c>
    </row>
    <row r="481">
      <c r="A481" s="6" t="n">
        <v>45951</v>
      </c>
      <c r="B481" t="inlineStr">
        <is>
          <t>Local Currency</t>
        </is>
      </c>
      <c r="C481" s="9" t="n">
        <v>0.001048</v>
      </c>
      <c r="D481" s="12" t="n">
        <v>1057.94</v>
      </c>
      <c r="E481" s="15" t="n">
        <v>0.003999</v>
      </c>
      <c r="F481" s="18" t="n">
        <v>0.001048</v>
      </c>
      <c r="G481" t="inlineStr">
        <is>
          <t>Risk-On</t>
        </is>
      </c>
    </row>
    <row r="482">
      <c r="A482" s="6" t="n">
        <v>45952</v>
      </c>
      <c r="B482" t="inlineStr">
        <is>
          <t>Hard Currency</t>
        </is>
      </c>
      <c r="C482" s="9" t="n">
        <v>-0.000435</v>
      </c>
      <c r="D482" s="12" t="n">
        <v>1016.34</v>
      </c>
      <c r="E482" s="15" t="n">
        <v>0.004732</v>
      </c>
      <c r="F482" s="18" t="n">
        <v>-0.000435</v>
      </c>
      <c r="G482" t="inlineStr">
        <is>
          <t>Risk-On</t>
        </is>
      </c>
    </row>
    <row r="483">
      <c r="A483" s="6" t="n">
        <v>45952</v>
      </c>
      <c r="B483" t="inlineStr">
        <is>
          <t>Local Currency</t>
        </is>
      </c>
      <c r="C483" s="9" t="n">
        <v>0.001183</v>
      </c>
      <c r="D483" s="12" t="n">
        <v>1059.2</v>
      </c>
      <c r="E483" s="15" t="n">
        <v>0.003999</v>
      </c>
      <c r="F483" s="18" t="n">
        <v>0.001183</v>
      </c>
      <c r="G483" t="inlineStr">
        <is>
          <t>Risk-On</t>
        </is>
      </c>
    </row>
    <row r="484">
      <c r="A484" s="6" t="n">
        <v>45957</v>
      </c>
      <c r="B484" t="inlineStr">
        <is>
          <t>Hard Currency</t>
        </is>
      </c>
      <c r="C484" s="9" t="n">
        <v>-4.2e-05</v>
      </c>
      <c r="D484" s="12" t="n">
        <v>1016.29</v>
      </c>
      <c r="E484" s="15" t="n">
        <v>0.004732</v>
      </c>
      <c r="F484" s="18" t="n">
        <v>-4.2e-05</v>
      </c>
      <c r="G484" t="inlineStr">
        <is>
          <t>Risk-On</t>
        </is>
      </c>
    </row>
    <row r="485">
      <c r="A485" s="6" t="n">
        <v>45957</v>
      </c>
      <c r="B485" t="inlineStr">
        <is>
          <t>Local Currency</t>
        </is>
      </c>
      <c r="C485" s="9" t="n">
        <v>0.000305</v>
      </c>
      <c r="D485" s="12" t="n">
        <v>1059.52</v>
      </c>
      <c r="E485" s="15" t="n">
        <v>0.003999</v>
      </c>
      <c r="F485" s="18" t="n">
        <v>0.000305</v>
      </c>
      <c r="G485" t="inlineStr">
        <is>
          <t>Risk-On</t>
        </is>
      </c>
    </row>
    <row r="486">
      <c r="A486" s="6" t="n">
        <v>45958</v>
      </c>
      <c r="B486" t="inlineStr">
        <is>
          <t>Hard Currency</t>
        </is>
      </c>
      <c r="C486" s="9" t="n">
        <v>0.001398</v>
      </c>
      <c r="D486" s="12" t="n">
        <v>1017.71</v>
      </c>
      <c r="E486" s="15" t="n">
        <v>0.004732</v>
      </c>
      <c r="F486" s="18" t="n">
        <v>0.001398</v>
      </c>
      <c r="G486" t="inlineStr">
        <is>
          <t>Risk-On</t>
        </is>
      </c>
    </row>
    <row r="487">
      <c r="A487" s="6" t="n">
        <v>45958</v>
      </c>
      <c r="B487" t="inlineStr">
        <is>
          <t>Local Currency</t>
        </is>
      </c>
      <c r="C487" s="9" t="n">
        <v>3.3e-05</v>
      </c>
      <c r="D487" s="12" t="n">
        <v>1059.55</v>
      </c>
      <c r="E487" s="15" t="n">
        <v>0.003999</v>
      </c>
      <c r="F487" s="18" t="n">
        <v>3.3e-05</v>
      </c>
      <c r="G487" t="inlineStr">
        <is>
          <t>Risk-On</t>
        </is>
      </c>
    </row>
    <row r="488">
      <c r="A488" s="6" t="n">
        <v>45959</v>
      </c>
      <c r="B488" t="inlineStr">
        <is>
          <t>Hard Currency</t>
        </is>
      </c>
      <c r="C488" s="9" t="n">
        <v>0.000248</v>
      </c>
      <c r="D488" s="12" t="n">
        <v>1017.97</v>
      </c>
      <c r="E488" s="15" t="n">
        <v>0.00465</v>
      </c>
      <c r="F488" s="18" t="n">
        <v>0.000248</v>
      </c>
      <c r="G488" t="inlineStr">
        <is>
          <t>Risk-On</t>
        </is>
      </c>
    </row>
    <row r="489">
      <c r="A489" s="6" t="n">
        <v>45959</v>
      </c>
      <c r="B489" t="inlineStr">
        <is>
          <t>Local Currency</t>
        </is>
      </c>
      <c r="C489" s="9" t="n">
        <v>-0.000365</v>
      </c>
      <c r="D489" s="12" t="n">
        <v>1059.17</v>
      </c>
      <c r="E489" s="15" t="n">
        <v>0.003999</v>
      </c>
      <c r="F489" s="18" t="n">
        <v>-0.000365</v>
      </c>
      <c r="G489" t="inlineStr">
        <is>
          <t>Risk-On</t>
        </is>
      </c>
    </row>
    <row r="490">
      <c r="A490" s="6" t="n">
        <v>45960</v>
      </c>
      <c r="B490" t="inlineStr">
        <is>
          <t>Hard Currency</t>
        </is>
      </c>
      <c r="C490" s="9" t="n">
        <v>-0.002582</v>
      </c>
      <c r="D490" s="12" t="n">
        <v>1015.34</v>
      </c>
      <c r="E490" s="15" t="n">
        <v>0.00465</v>
      </c>
      <c r="F490" s="18" t="n">
        <v>-0.002582</v>
      </c>
      <c r="G490" t="inlineStr">
        <is>
          <t>Risk-On</t>
        </is>
      </c>
    </row>
    <row r="491">
      <c r="A491" s="6" t="n">
        <v>45960</v>
      </c>
      <c r="B491" t="inlineStr">
        <is>
          <t>Local Currency</t>
        </is>
      </c>
      <c r="C491" s="9" t="n">
        <v>-0.002692</v>
      </c>
      <c r="D491" s="12" t="n">
        <v>1056.32</v>
      </c>
      <c r="E491" s="15" t="n">
        <v>0.003999</v>
      </c>
      <c r="F491" s="18" t="n">
        <v>-0.002692</v>
      </c>
      <c r="G491" t="inlineStr">
        <is>
          <t>Risk-On</t>
        </is>
      </c>
    </row>
    <row r="492">
      <c r="A492" s="6" t="n">
        <v>45961</v>
      </c>
      <c r="B492" t="inlineStr">
        <is>
          <t>Hard Currency</t>
        </is>
      </c>
      <c r="C492" s="9" t="n">
        <v>0.003325</v>
      </c>
      <c r="D492" s="12" t="n">
        <v>1018.71</v>
      </c>
      <c r="E492" s="15" t="n">
        <v>0.00465</v>
      </c>
      <c r="F492" s="18" t="n">
        <v>0.003325</v>
      </c>
      <c r="G492" t="inlineStr">
        <is>
          <t>Risk-On</t>
        </is>
      </c>
    </row>
    <row r="493">
      <c r="A493" s="6" t="n">
        <v>45961</v>
      </c>
      <c r="B493" t="inlineStr">
        <is>
          <t>Local Currency</t>
        </is>
      </c>
      <c r="C493" s="9" t="n">
        <v>0.00256</v>
      </c>
      <c r="D493" s="12" t="n">
        <v>1059.02</v>
      </c>
      <c r="E493" s="15" t="n">
        <v>0.003999</v>
      </c>
      <c r="F493" s="18" t="n">
        <v>0.00256</v>
      </c>
      <c r="G493" t="inlineStr">
        <is>
          <t>Risk-On</t>
        </is>
      </c>
    </row>
    <row r="494">
      <c r="A494" s="6" t="n">
        <v>45964</v>
      </c>
      <c r="B494" t="inlineStr">
        <is>
          <t>Local Currency</t>
        </is>
      </c>
      <c r="C494" s="9" t="n">
        <v>-5.1e-05</v>
      </c>
      <c r="D494" s="12" t="n">
        <v>1058.97</v>
      </c>
      <c r="E494" s="15" t="n">
        <v>0.003999</v>
      </c>
      <c r="F494" s="18" t="n">
        <v>-5.1e-05</v>
      </c>
      <c r="G494" t="inlineStr">
        <is>
          <t>Risk-On</t>
        </is>
      </c>
    </row>
    <row r="495">
      <c r="A495" s="6" t="n">
        <v>45965</v>
      </c>
      <c r="B495" t="inlineStr">
        <is>
          <t>Hard Currency</t>
        </is>
      </c>
      <c r="C495" s="9" t="n">
        <v>-0.001701</v>
      </c>
      <c r="D495" s="12" t="n">
        <v>1016.98</v>
      </c>
      <c r="E495" s="15" t="n">
        <v>0.00465</v>
      </c>
      <c r="F495" s="18" t="n">
        <v>-0.001701</v>
      </c>
      <c r="G495" t="inlineStr">
        <is>
          <t>Risk-On</t>
        </is>
      </c>
    </row>
    <row r="496">
      <c r="A496" s="6" t="n">
        <v>45965</v>
      </c>
      <c r="B496" t="inlineStr">
        <is>
          <t>Local Currency</t>
        </is>
      </c>
      <c r="C496" s="9" t="n">
        <v>-0.000904</v>
      </c>
      <c r="D496" s="12" t="n">
        <v>1058.01</v>
      </c>
      <c r="E496" s="15" t="n">
        <v>0.003999</v>
      </c>
      <c r="F496" s="18" t="n">
        <v>-0.000904</v>
      </c>
      <c r="G496" t="inlineStr">
        <is>
          <t>Risk-On</t>
        </is>
      </c>
    </row>
    <row r="497">
      <c r="A497" s="6" t="n">
        <v>45966</v>
      </c>
      <c r="B497" t="inlineStr">
        <is>
          <t>Hard Currency</t>
        </is>
      </c>
      <c r="C497" s="9" t="n">
        <v>0.000833</v>
      </c>
      <c r="D497" s="12" t="n">
        <v>1017.83</v>
      </c>
      <c r="E497" s="15" t="n">
        <v>0.00465</v>
      </c>
      <c r="F497" s="18" t="n">
        <v>0.000833</v>
      </c>
      <c r="G497" t="inlineStr">
        <is>
          <t>Risk-On</t>
        </is>
      </c>
    </row>
    <row r="498">
      <c r="A498" s="6" t="n">
        <v>45966</v>
      </c>
      <c r="B498" t="inlineStr">
        <is>
          <t>Local Currency</t>
        </is>
      </c>
      <c r="C498" s="9" t="n">
        <v>0.000726</v>
      </c>
      <c r="D498" s="12" t="n">
        <v>1058.78</v>
      </c>
      <c r="E498" s="15" t="n">
        <v>0.003999</v>
      </c>
      <c r="F498" s="18" t="n">
        <v>0.000726</v>
      </c>
      <c r="G498" t="inlineStr">
        <is>
          <t>Risk-On</t>
        </is>
      </c>
    </row>
    <row r="499">
      <c r="A499" s="6" t="n">
        <v>45967</v>
      </c>
      <c r="B499" t="inlineStr">
        <is>
          <t>Hard Currency</t>
        </is>
      </c>
      <c r="C499" s="9" t="n">
        <v>0.00039</v>
      </c>
      <c r="D499" s="12" t="n">
        <v>1018.23</v>
      </c>
      <c r="E499" s="15" t="n">
        <v>0.00465</v>
      </c>
      <c r="F499" s="18" t="n">
        <v>0.00039</v>
      </c>
      <c r="G499" t="inlineStr">
        <is>
          <t>Risk-On</t>
        </is>
      </c>
    </row>
    <row r="500">
      <c r="A500" s="6" t="n">
        <v>45967</v>
      </c>
      <c r="B500" t="inlineStr">
        <is>
          <t>Local Currency</t>
        </is>
      </c>
      <c r="C500" s="9" t="n">
        <v>-0.000462</v>
      </c>
      <c r="D500" s="12" t="n">
        <v>1058.29</v>
      </c>
      <c r="E500" s="15" t="n">
        <v>0.003999</v>
      </c>
      <c r="F500" s="18" t="n">
        <v>-0.000462</v>
      </c>
      <c r="G500" t="inlineStr">
        <is>
          <t>Risk-On</t>
        </is>
      </c>
    </row>
    <row r="501">
      <c r="A501" s="6" t="n">
        <v>45968</v>
      </c>
      <c r="B501" t="inlineStr">
        <is>
          <t>Hard Currency</t>
        </is>
      </c>
      <c r="C501" s="9" t="n">
        <v>-0.000952</v>
      </c>
      <c r="D501" s="12" t="n">
        <v>1017.26</v>
      </c>
      <c r="E501" s="15" t="n">
        <v>0.00465</v>
      </c>
      <c r="F501" s="18" t="n">
        <v>-0.000952</v>
      </c>
      <c r="G501" t="inlineStr">
        <is>
          <t>Risk-On</t>
        </is>
      </c>
    </row>
    <row r="502">
      <c r="A502" s="6" t="n">
        <v>45968</v>
      </c>
      <c r="B502" t="inlineStr">
        <is>
          <t>Local Currency</t>
        </is>
      </c>
      <c r="C502" s="9" t="n">
        <v>-0.000683</v>
      </c>
      <c r="D502" s="12" t="n">
        <v>1057.57</v>
      </c>
      <c r="E502" s="15" t="n">
        <v>0.003999</v>
      </c>
      <c r="F502" s="18" t="n">
        <v>-0.000683</v>
      </c>
      <c r="G502" t="inlineStr">
        <is>
          <t>Risk-On</t>
        </is>
      </c>
    </row>
    <row r="503">
      <c r="A503" s="6" t="n">
        <v>45971</v>
      </c>
      <c r="B503" t="inlineStr">
        <is>
          <t>Hard Currency</t>
        </is>
      </c>
      <c r="C503" s="9" t="n">
        <v>0.000151</v>
      </c>
      <c r="D503" s="12" t="n">
        <v>1017.41</v>
      </c>
      <c r="E503" s="15" t="n">
        <v>0.00465</v>
      </c>
      <c r="F503" s="18" t="n">
        <v>0.000151</v>
      </c>
      <c r="G503" t="inlineStr">
        <is>
          <t>Risk-On</t>
        </is>
      </c>
    </row>
    <row r="504">
      <c r="A504" s="6" t="n">
        <v>45971</v>
      </c>
      <c r="B504" t="inlineStr">
        <is>
          <t>Local Currency</t>
        </is>
      </c>
      <c r="C504" s="9" t="n">
        <v>0.001503</v>
      </c>
      <c r="D504" s="12" t="n">
        <v>1059.15</v>
      </c>
      <c r="E504" s="15" t="n">
        <v>0.003999</v>
      </c>
      <c r="F504" s="18" t="n">
        <v>0.001503</v>
      </c>
      <c r="G504" t="inlineStr">
        <is>
          <t>Risk-On</t>
        </is>
      </c>
    </row>
    <row r="505">
      <c r="A505" s="6" t="n">
        <v>45972</v>
      </c>
      <c r="B505" t="inlineStr">
        <is>
          <t>Hard Currency</t>
        </is>
      </c>
      <c r="C505" s="9" t="n">
        <v>-0.001266</v>
      </c>
      <c r="D505" s="12" t="n">
        <v>1016.12</v>
      </c>
      <c r="E505" s="15" t="n">
        <v>0.00465</v>
      </c>
      <c r="F505" s="18" t="n">
        <v>-0.001266</v>
      </c>
      <c r="G505" t="inlineStr">
        <is>
          <t>Risk-On</t>
        </is>
      </c>
    </row>
    <row r="506">
      <c r="A506" s="6" t="n">
        <v>45972</v>
      </c>
      <c r="B506" t="inlineStr">
        <is>
          <t>Local Currency</t>
        </is>
      </c>
      <c r="C506" s="9" t="n">
        <v>0.000736</v>
      </c>
      <c r="D506" s="12" t="n">
        <v>1059.93</v>
      </c>
      <c r="E506" s="15" t="n">
        <v>0.003999</v>
      </c>
      <c r="F506" s="18" t="n">
        <v>0.000736</v>
      </c>
      <c r="G506" t="inlineStr">
        <is>
          <t>Risk-On</t>
        </is>
      </c>
    </row>
    <row r="507">
      <c r="A507" s="6" t="n">
        <v>45973</v>
      </c>
      <c r="B507" t="inlineStr">
        <is>
          <t>Hard Currency</t>
        </is>
      </c>
      <c r="C507" s="9" t="n">
        <v>-0.004398</v>
      </c>
      <c r="D507" s="12" t="n">
        <v>1011.65</v>
      </c>
      <c r="E507" s="15" t="n">
        <v>0.00465</v>
      </c>
      <c r="F507" s="18" t="n">
        <v>-0.004398</v>
      </c>
      <c r="G507" t="inlineStr">
        <is>
          <t>Normal</t>
        </is>
      </c>
    </row>
    <row r="508">
      <c r="A508" s="6" t="n">
        <v>45973</v>
      </c>
      <c r="B508" t="inlineStr">
        <is>
          <t>Local Currency</t>
        </is>
      </c>
      <c r="C508" s="9" t="n">
        <v>0.000825</v>
      </c>
      <c r="D508" s="12" t="n">
        <v>1060.81</v>
      </c>
      <c r="E508" s="15" t="n">
        <v>0.003999</v>
      </c>
      <c r="F508" s="18" t="n">
        <v>0.000825</v>
      </c>
      <c r="G508" t="inlineStr">
        <is>
          <t>Normal</t>
        </is>
      </c>
    </row>
    <row r="509">
      <c r="A509" s="6" t="n">
        <v>45974</v>
      </c>
      <c r="B509" t="inlineStr">
        <is>
          <t>Hard Currency</t>
        </is>
      </c>
      <c r="C509" s="9" t="n">
        <v>-0.0005509999999999999</v>
      </c>
      <c r="D509" s="12" t="n">
        <v>1011.1</v>
      </c>
      <c r="E509" s="15" t="n">
        <v>0.00465</v>
      </c>
      <c r="F509" s="18" t="n">
        <v>-0.0005509999999999999</v>
      </c>
      <c r="G509" t="inlineStr">
        <is>
          <t>Risk-On</t>
        </is>
      </c>
    </row>
    <row r="510">
      <c r="A510" s="6" t="n">
        <v>45974</v>
      </c>
      <c r="B510" t="inlineStr">
        <is>
          <t>Local Currency</t>
        </is>
      </c>
      <c r="C510" s="9" t="n">
        <v>0.0009120000000000001</v>
      </c>
      <c r="D510" s="12" t="n">
        <v>1061.78</v>
      </c>
      <c r="E510" s="15" t="n">
        <v>0.003999</v>
      </c>
      <c r="F510" s="18" t="n">
        <v>0.0009120000000000001</v>
      </c>
      <c r="G510" t="inlineStr">
        <is>
          <t>Risk-On</t>
        </is>
      </c>
    </row>
    <row r="511">
      <c r="A511" s="6" t="n">
        <v>45975</v>
      </c>
      <c r="B511" t="inlineStr">
        <is>
          <t>Hard Currency</t>
        </is>
      </c>
      <c r="C511" s="9" t="n">
        <v>-0.003198</v>
      </c>
      <c r="D511" s="12" t="n">
        <v>1007.86</v>
      </c>
      <c r="E511" s="15" t="n">
        <v>0.004536</v>
      </c>
      <c r="F511" s="18" t="n">
        <v>-0.003198</v>
      </c>
      <c r="G511" t="inlineStr">
        <is>
          <t>Risk-On</t>
        </is>
      </c>
    </row>
    <row r="512">
      <c r="A512" s="6" t="n">
        <v>45975</v>
      </c>
      <c r="B512" t="inlineStr">
        <is>
          <t>Local Currency</t>
        </is>
      </c>
      <c r="C512" s="9" t="n">
        <v>-0.001053</v>
      </c>
      <c r="D512" s="12" t="n">
        <v>1060.66</v>
      </c>
      <c r="E512" s="15" t="n">
        <v>0.003934</v>
      </c>
      <c r="F512" s="18" t="n">
        <v>-0.001053</v>
      </c>
      <c r="G512" t="inlineStr">
        <is>
          <t>Risk-On</t>
        </is>
      </c>
    </row>
    <row r="513">
      <c r="A513" s="6" t="n">
        <v>45978</v>
      </c>
      <c r="B513" t="inlineStr">
        <is>
          <t>Local Currency</t>
        </is>
      </c>
      <c r="C513" s="9" t="n">
        <v>-0.000416</v>
      </c>
      <c r="D513" s="12" t="n">
        <v>1060.22</v>
      </c>
      <c r="E513" s="15" t="n">
        <v>0.003934</v>
      </c>
      <c r="F513" s="18" t="n">
        <v>-0.000416</v>
      </c>
      <c r="G513" t="inlineStr">
        <is>
          <t>Risk-On</t>
        </is>
      </c>
    </row>
    <row r="514">
      <c r="A514" s="6" t="n">
        <v>45979</v>
      </c>
      <c r="B514" t="inlineStr">
        <is>
          <t>Hard Currency</t>
        </is>
      </c>
      <c r="C514" s="9" t="n">
        <v>-0.001032</v>
      </c>
      <c r="D514" s="12" t="n">
        <v>1006.82</v>
      </c>
      <c r="E514" s="15" t="n">
        <v>0.004536</v>
      </c>
      <c r="F514" s="18" t="n">
        <v>-0.001032</v>
      </c>
      <c r="G514" t="inlineStr">
        <is>
          <t>Risk-On</t>
        </is>
      </c>
    </row>
    <row r="515">
      <c r="A515" s="6" t="n">
        <v>45979</v>
      </c>
      <c r="B515" t="inlineStr">
        <is>
          <t>Local Currency</t>
        </is>
      </c>
      <c r="C515" s="9" t="n">
        <v>-0.001381</v>
      </c>
      <c r="D515" s="12" t="n">
        <v>1058.75</v>
      </c>
      <c r="E515" s="15" t="n">
        <v>0.003934</v>
      </c>
      <c r="F515" s="18" t="n">
        <v>-0.001381</v>
      </c>
      <c r="G515" t="inlineStr">
        <is>
          <t>Risk-On</t>
        </is>
      </c>
    </row>
    <row r="516">
      <c r="A516" s="6" t="n">
        <v>45980</v>
      </c>
      <c r="B516" t="inlineStr">
        <is>
          <t>Hard Currency</t>
        </is>
      </c>
      <c r="C516" s="9" t="n">
        <v>-0.0044</v>
      </c>
      <c r="D516" s="12" t="n">
        <v>1002.39</v>
      </c>
      <c r="E516" s="15" t="n">
        <v>0.004536</v>
      </c>
      <c r="F516" s="18" t="n">
        <v>-0.0044</v>
      </c>
      <c r="G516" t="inlineStr">
        <is>
          <t>Risk-On</t>
        </is>
      </c>
    </row>
    <row r="517">
      <c r="A517" s="6" t="n">
        <v>45980</v>
      </c>
      <c r="B517" t="inlineStr">
        <is>
          <t>Local Currency</t>
        </is>
      </c>
      <c r="C517" s="9" t="n">
        <v>0.000508</v>
      </c>
      <c r="D517" s="12" t="n">
        <v>1059.29</v>
      </c>
      <c r="E517" s="15" t="n">
        <v>0.003934</v>
      </c>
      <c r="F517" s="18" t="n">
        <v>0.000508</v>
      </c>
      <c r="G517" t="inlineStr">
        <is>
          <t>Risk-On</t>
        </is>
      </c>
    </row>
    <row r="518">
      <c r="A518" s="6" t="n">
        <v>45982</v>
      </c>
      <c r="B518" t="inlineStr">
        <is>
          <t>Hard Currency</t>
        </is>
      </c>
      <c r="C518" s="9" t="n">
        <v>-0.003039</v>
      </c>
      <c r="D518" s="12" t="n">
        <v>999.35</v>
      </c>
      <c r="E518" s="15" t="n">
        <v>0.004536</v>
      </c>
      <c r="F518" s="18" t="n">
        <v>-0.003039</v>
      </c>
      <c r="G518" t="inlineStr">
        <is>
          <t>Risk-On</t>
        </is>
      </c>
    </row>
    <row r="519">
      <c r="A519" s="6" t="n">
        <v>45982</v>
      </c>
      <c r="B519" t="inlineStr">
        <is>
          <t>Local Currency</t>
        </is>
      </c>
      <c r="C519" s="9" t="n">
        <v>-0.000697</v>
      </c>
      <c r="D519" s="12" t="n">
        <v>1058.55</v>
      </c>
      <c r="E519" s="15" t="n">
        <v>0.003934</v>
      </c>
      <c r="F519" s="18" t="n">
        <v>-0.000697</v>
      </c>
      <c r="G519" t="inlineStr">
        <is>
          <t>Risk-On</t>
        </is>
      </c>
    </row>
    <row r="520">
      <c r="A520" s="6" t="n">
        <v>45985</v>
      </c>
      <c r="B520" t="inlineStr">
        <is>
          <t>Hard Currency</t>
        </is>
      </c>
      <c r="C520" s="9" t="n">
        <v>0.002796</v>
      </c>
      <c r="D520" s="12" t="n">
        <v>1002.14</v>
      </c>
      <c r="E520" s="15" t="n">
        <v>0.004536</v>
      </c>
      <c r="F520" s="18" t="n">
        <v>0.002796</v>
      </c>
      <c r="G520" t="inlineStr">
        <is>
          <t>Risk-On</t>
        </is>
      </c>
    </row>
    <row r="521">
      <c r="A521" s="6" t="n">
        <v>45985</v>
      </c>
      <c r="B521" t="inlineStr">
        <is>
          <t>Local Currency</t>
        </is>
      </c>
      <c r="C521" s="9" t="n">
        <v>0.002146</v>
      </c>
      <c r="D521" s="12" t="n">
        <v>1060.82</v>
      </c>
      <c r="E521" s="15" t="n">
        <v>0.003934</v>
      </c>
      <c r="F521" s="18" t="n">
        <v>0.002146</v>
      </c>
      <c r="G521" t="inlineStr">
        <is>
          <t>Risk-On</t>
        </is>
      </c>
    </row>
    <row r="522">
      <c r="A522" s="6" t="n">
        <v>45986</v>
      </c>
      <c r="B522" t="inlineStr">
        <is>
          <t>Hard Currency</t>
        </is>
      </c>
      <c r="C522" s="9" t="n">
        <v>0.001254</v>
      </c>
      <c r="D522" s="12" t="n">
        <v>1003.4</v>
      </c>
      <c r="E522" s="15" t="n">
        <v>0.004536</v>
      </c>
      <c r="F522" s="18" t="n">
        <v>0.001254</v>
      </c>
      <c r="G522" t="inlineStr">
        <is>
          <t>Risk-On</t>
        </is>
      </c>
    </row>
    <row r="523">
      <c r="A523" s="6" t="n">
        <v>45986</v>
      </c>
      <c r="B523" t="inlineStr">
        <is>
          <t>Local Currency</t>
        </is>
      </c>
      <c r="C523" s="9" t="n">
        <v>0.002117</v>
      </c>
      <c r="D523" s="12" t="n">
        <v>1063.07</v>
      </c>
      <c r="E523" s="15" t="n">
        <v>0.003934</v>
      </c>
      <c r="F523" s="18" t="n">
        <v>0.002117</v>
      </c>
      <c r="G523" t="inlineStr">
        <is>
          <t>Risk-On</t>
        </is>
      </c>
    </row>
    <row r="524">
      <c r="A524" s="6" t="n">
        <v>45987</v>
      </c>
      <c r="B524" t="inlineStr">
        <is>
          <t>Hard Currency</t>
        </is>
      </c>
      <c r="C524" s="9" t="n">
        <v>0.000284</v>
      </c>
      <c r="D524" s="12" t="n">
        <v>1003.68</v>
      </c>
      <c r="E524" s="15" t="n">
        <v>0.004434</v>
      </c>
      <c r="F524" s="18" t="n">
        <v>0.000284</v>
      </c>
      <c r="G524" t="inlineStr">
        <is>
          <t>Risk-On</t>
        </is>
      </c>
    </row>
    <row r="525">
      <c r="A525" s="6" t="n">
        <v>45987</v>
      </c>
      <c r="B525" t="inlineStr">
        <is>
          <t>Local Currency</t>
        </is>
      </c>
      <c r="C525" s="9" t="n">
        <v>0.000426</v>
      </c>
      <c r="D525" s="12" t="n">
        <v>1063.52</v>
      </c>
      <c r="E525" s="15" t="n">
        <v>0.003934</v>
      </c>
      <c r="F525" s="18" t="n">
        <v>0.000426</v>
      </c>
      <c r="G525" t="inlineStr">
        <is>
          <t>Risk-On</t>
        </is>
      </c>
    </row>
    <row r="526">
      <c r="A526" s="6" t="n">
        <v>45988</v>
      </c>
      <c r="B526" t="inlineStr">
        <is>
          <t>Hard Currency</t>
        </is>
      </c>
      <c r="C526" s="9" t="n">
        <v>0.000107</v>
      </c>
      <c r="D526" s="12" t="n">
        <v>1003.79</v>
      </c>
      <c r="E526" s="15" t="n">
        <v>0.004434</v>
      </c>
      <c r="F526" s="18" t="n">
        <v>0.000107</v>
      </c>
      <c r="G526" t="inlineStr">
        <is>
          <t>Risk-On</t>
        </is>
      </c>
    </row>
    <row r="527">
      <c r="A527" s="6" t="n">
        <v>45988</v>
      </c>
      <c r="B527" t="inlineStr">
        <is>
          <t>Local Currency</t>
        </is>
      </c>
      <c r="C527" s="9" t="n">
        <v>0.001554</v>
      </c>
      <c r="D527" s="12" t="n">
        <v>1065.18</v>
      </c>
      <c r="E527" s="15" t="n">
        <v>0.003934</v>
      </c>
      <c r="F527" s="18" t="n">
        <v>0.001554</v>
      </c>
      <c r="G527" t="inlineStr">
        <is>
          <t>Risk-On</t>
        </is>
      </c>
    </row>
    <row r="528">
      <c r="A528" s="6" t="n">
        <v>45989</v>
      </c>
      <c r="B528" t="inlineStr">
        <is>
          <t>Hard Currency</t>
        </is>
      </c>
      <c r="C528" s="9" t="n">
        <v>0.002324</v>
      </c>
      <c r="D528" s="12" t="n">
        <v>1006.12</v>
      </c>
      <c r="E528" s="15" t="n">
        <v>0.004434</v>
      </c>
      <c r="F528" s="18" t="n">
        <v>0.002324</v>
      </c>
      <c r="G528" t="inlineStr">
        <is>
          <t>Risk-On</t>
        </is>
      </c>
    </row>
    <row r="529">
      <c r="A529" s="6" t="n">
        <v>45989</v>
      </c>
      <c r="B529" t="inlineStr">
        <is>
          <t>Local Currency</t>
        </is>
      </c>
      <c r="C529" s="9" t="n">
        <v>0.001213</v>
      </c>
      <c r="D529" s="12" t="n">
        <v>1066.47</v>
      </c>
      <c r="E529" s="15" t="n">
        <v>0.003934</v>
      </c>
      <c r="F529" s="18" t="n">
        <v>0.001213</v>
      </c>
      <c r="G529" t="inlineStr">
        <is>
          <t>Risk-On</t>
        </is>
      </c>
    </row>
    <row r="530">
      <c r="A530" s="6" t="n">
        <v>45994</v>
      </c>
      <c r="B530" t="inlineStr">
        <is>
          <t>Hard Currency</t>
        </is>
      </c>
      <c r="C530" s="9" t="n">
        <v>0.002487</v>
      </c>
      <c r="D530" s="12" t="n">
        <v>1008.62</v>
      </c>
      <c r="E530" s="15" t="n">
        <v>0.004434</v>
      </c>
      <c r="F530" s="18" t="n">
        <v>0.002487</v>
      </c>
      <c r="G530" t="inlineStr">
        <is>
          <t>Risk-On</t>
        </is>
      </c>
    </row>
    <row r="531">
      <c r="A531" s="6" t="n">
        <v>45994</v>
      </c>
      <c r="B531" t="inlineStr">
        <is>
          <t>Local Currency</t>
        </is>
      </c>
      <c r="C531" s="9" t="n">
        <v>0.000132</v>
      </c>
      <c r="D531" s="12" t="n">
        <v>1066.61</v>
      </c>
      <c r="E531" s="15" t="n">
        <v>0.003934</v>
      </c>
      <c r="F531" s="18" t="n">
        <v>0.000132</v>
      </c>
      <c r="G531" t="inlineStr">
        <is>
          <t>Risk-On</t>
        </is>
      </c>
    </row>
    <row r="532">
      <c r="A532" s="6" t="n">
        <v>45995</v>
      </c>
      <c r="B532" t="inlineStr">
        <is>
          <t>Hard Currency</t>
        </is>
      </c>
      <c r="C532" s="9" t="n">
        <v>0.003041</v>
      </c>
      <c r="D532" s="12" t="n">
        <v>1011.69</v>
      </c>
      <c r="E532" s="15" t="n">
        <v>0.004434</v>
      </c>
      <c r="F532" s="18" t="n">
        <v>0.003041</v>
      </c>
      <c r="G532" t="inlineStr">
        <is>
          <t>Risk-On</t>
        </is>
      </c>
    </row>
    <row r="533">
      <c r="A533" s="6" t="n">
        <v>45995</v>
      </c>
      <c r="B533" t="inlineStr">
        <is>
          <t>Local Currency</t>
        </is>
      </c>
      <c r="C533" s="9" t="n">
        <v>0.000848</v>
      </c>
      <c r="D533" s="12" t="n">
        <v>1067.51</v>
      </c>
      <c r="E533" s="15" t="n">
        <v>0.003934</v>
      </c>
      <c r="F533" s="18" t="n">
        <v>0.000848</v>
      </c>
      <c r="G533" t="inlineStr">
        <is>
          <t>Risk-On</t>
        </is>
      </c>
    </row>
    <row r="534">
      <c r="A534" s="6" t="n">
        <v>45996</v>
      </c>
      <c r="B534" t="inlineStr">
        <is>
          <t>Hard Currency</t>
        </is>
      </c>
      <c r="C534" s="9" t="n">
        <v>-0.003783</v>
      </c>
      <c r="D534" s="12" t="n">
        <v>1007.86</v>
      </c>
      <c r="E534" s="15" t="n">
        <v>0.004434</v>
      </c>
      <c r="F534" s="18" t="n">
        <v>-0.003783</v>
      </c>
      <c r="G534" t="inlineStr">
        <is>
          <t>Normal</t>
        </is>
      </c>
    </row>
    <row r="535">
      <c r="A535" s="6" t="n">
        <v>45996</v>
      </c>
      <c r="B535" t="inlineStr">
        <is>
          <t>Local Currency</t>
        </is>
      </c>
      <c r="C535" s="9" t="n">
        <v>-0.005809</v>
      </c>
      <c r="D535" s="12" t="n">
        <v>1061.31</v>
      </c>
      <c r="E535" s="15" t="n">
        <v>0.003999</v>
      </c>
      <c r="F535" s="18" t="n">
        <v>-0.005809</v>
      </c>
      <c r="G535" t="inlineStr">
        <is>
          <t>Normal</t>
        </is>
      </c>
    </row>
    <row r="536">
      <c r="A536" s="6" t="n">
        <v>45999</v>
      </c>
      <c r="B536" t="inlineStr">
        <is>
          <t>Local Currency</t>
        </is>
      </c>
      <c r="C536" s="9" t="n">
        <v>-0.005768</v>
      </c>
      <c r="D536" s="12" t="n">
        <v>1055.19</v>
      </c>
      <c r="E536" s="15" t="n">
        <v>0.004083</v>
      </c>
      <c r="F536" s="18" t="n">
        <v>-0.005768</v>
      </c>
      <c r="G536" t="inlineStr">
        <is>
          <t>Normal</t>
        </is>
      </c>
    </row>
    <row r="537">
      <c r="A537" s="6" t="n">
        <v>46000</v>
      </c>
      <c r="B537" t="inlineStr">
        <is>
          <t>Hard Currency</t>
        </is>
      </c>
      <c r="C537" s="9" t="n">
        <v>-0.003578</v>
      </c>
      <c r="D537" s="12" t="n">
        <v>1004.26</v>
      </c>
      <c r="E537" s="15" t="n">
        <v>0.004434</v>
      </c>
      <c r="F537" s="18" t="n">
        <v>-0.003578</v>
      </c>
      <c r="G537" t="inlineStr">
        <is>
          <t>Risk-On</t>
        </is>
      </c>
    </row>
    <row r="538">
      <c r="A538" s="6" t="n">
        <v>46000</v>
      </c>
      <c r="B538" t="inlineStr">
        <is>
          <t>Local Currency</t>
        </is>
      </c>
      <c r="C538" s="9" t="n">
        <v>-0.000607</v>
      </c>
      <c r="D538" s="12" t="n">
        <v>1054.55</v>
      </c>
      <c r="E538" s="15" t="n">
        <v>0.004083</v>
      </c>
      <c r="F538" s="18" t="n">
        <v>-0.000607</v>
      </c>
      <c r="G538" t="inlineStr">
        <is>
          <t>Risk-On</t>
        </is>
      </c>
    </row>
    <row r="539">
      <c r="A539" s="6" t="n">
        <v>46001</v>
      </c>
      <c r="B539" t="inlineStr">
        <is>
          <t>Hard Currency</t>
        </is>
      </c>
      <c r="C539" s="9" t="n">
        <v>-0.006097</v>
      </c>
      <c r="D539" s="12" t="n">
        <v>998.13</v>
      </c>
      <c r="E539" s="15" t="n">
        <v>0.004536</v>
      </c>
      <c r="F539" s="18" t="n">
        <v>-0.006097</v>
      </c>
      <c r="G539" t="inlineStr">
        <is>
          <t>Risk-On</t>
        </is>
      </c>
    </row>
    <row r="540">
      <c r="A540" s="6" t="n">
        <v>46001</v>
      </c>
      <c r="B540" t="inlineStr">
        <is>
          <t>Local Currency</t>
        </is>
      </c>
      <c r="C540" s="9" t="n">
        <v>-0.004485</v>
      </c>
      <c r="D540" s="12" t="n">
        <v>1049.82</v>
      </c>
      <c r="E540" s="15" t="n">
        <v>0.004224</v>
      </c>
      <c r="F540" s="18" t="n">
        <v>-0.004485</v>
      </c>
      <c r="G540" t="inlineStr">
        <is>
          <t>Risk-On</t>
        </is>
      </c>
    </row>
    <row r="541">
      <c r="A541" s="6" t="n">
        <v>46002</v>
      </c>
      <c r="B541" t="inlineStr">
        <is>
          <t>Hard Currency</t>
        </is>
      </c>
      <c r="C541" s="9" t="n">
        <v>0.001497</v>
      </c>
      <c r="D541" s="12" t="n">
        <v>999.63</v>
      </c>
      <c r="E541" s="15" t="n">
        <v>0.004536</v>
      </c>
      <c r="F541" s="18" t="n">
        <v>0.001497</v>
      </c>
      <c r="G541" t="inlineStr">
        <is>
          <t>Risk-On</t>
        </is>
      </c>
    </row>
    <row r="542">
      <c r="A542" s="6" t="n">
        <v>46002</v>
      </c>
      <c r="B542" t="inlineStr">
        <is>
          <t>Local Currency</t>
        </is>
      </c>
      <c r="C542" s="9" t="n">
        <v>0.001575</v>
      </c>
      <c r="D542" s="12" t="n">
        <v>1051.47</v>
      </c>
      <c r="E542" s="15" t="n">
        <v>0.004224</v>
      </c>
      <c r="F542" s="18" t="n">
        <v>0.001575</v>
      </c>
      <c r="G542" t="inlineStr">
        <is>
          <t>Risk-On</t>
        </is>
      </c>
    </row>
    <row r="543">
      <c r="A543" s="6" t="n">
        <v>46003</v>
      </c>
      <c r="B543" t="inlineStr">
        <is>
          <t>Hard Currency</t>
        </is>
      </c>
      <c r="C543" s="9" t="n">
        <v>0.001945</v>
      </c>
      <c r="D543" s="12" t="n">
        <v>1001.57</v>
      </c>
      <c r="E543" s="15" t="n">
        <v>0.004536</v>
      </c>
      <c r="F543" s="18" t="n">
        <v>0.001945</v>
      </c>
      <c r="G543" t="inlineStr">
        <is>
          <t>Risk-On</t>
        </is>
      </c>
    </row>
    <row r="544">
      <c r="A544" s="6" t="n">
        <v>46003</v>
      </c>
      <c r="B544" t="inlineStr">
        <is>
          <t>Local Currency</t>
        </is>
      </c>
      <c r="C544" s="9" t="n">
        <v>0.002756</v>
      </c>
      <c r="D544" s="12" t="n">
        <v>1054.37</v>
      </c>
      <c r="E544" s="15" t="n">
        <v>0.004224</v>
      </c>
      <c r="F544" s="18" t="n">
        <v>0.002756</v>
      </c>
      <c r="G544" t="inlineStr">
        <is>
          <t>Risk-On</t>
        </is>
      </c>
    </row>
    <row r="545">
      <c r="A545" s="6" t="n">
        <v>46006</v>
      </c>
      <c r="B545" t="inlineStr">
        <is>
          <t>Hard Currency</t>
        </is>
      </c>
      <c r="C545" s="9" t="n">
        <v>-0.000949</v>
      </c>
      <c r="D545" s="12" t="n">
        <v>1000.62</v>
      </c>
      <c r="E545" s="15" t="n">
        <v>0.004536</v>
      </c>
      <c r="F545" s="18" t="n">
        <v>-0.000949</v>
      </c>
      <c r="G545" t="inlineStr">
        <is>
          <t>Risk-On</t>
        </is>
      </c>
    </row>
    <row r="546">
      <c r="A546" s="6" t="n">
        <v>46006</v>
      </c>
      <c r="B546" t="inlineStr">
        <is>
          <t>Local Currency</t>
        </is>
      </c>
      <c r="C546" s="9" t="n">
        <v>0.000943</v>
      </c>
      <c r="D546" s="12" t="n">
        <v>1055.37</v>
      </c>
      <c r="E546" s="15" t="n">
        <v>0.004224</v>
      </c>
      <c r="F546" s="18" t="n">
        <v>0.000943</v>
      </c>
      <c r="G546" t="inlineStr">
        <is>
          <t>Risk-On</t>
        </is>
      </c>
    </row>
    <row r="547">
      <c r="A547" s="6" t="n">
        <v>46008</v>
      </c>
      <c r="B547" t="inlineStr">
        <is>
          <t>Hard Currency</t>
        </is>
      </c>
      <c r="C547" s="9" t="n">
        <v>-0.004034</v>
      </c>
      <c r="D547" s="12" t="n">
        <v>996.59</v>
      </c>
      <c r="E547" s="15" t="n">
        <v>0.004536</v>
      </c>
      <c r="F547" s="18" t="n">
        <v>-0.004034</v>
      </c>
      <c r="G547" t="inlineStr">
        <is>
          <t>Normal</t>
        </is>
      </c>
    </row>
    <row r="548">
      <c r="A548" s="6" t="n">
        <v>46008</v>
      </c>
      <c r="B548" t="inlineStr">
        <is>
          <t>Local Currency</t>
        </is>
      </c>
      <c r="C548" s="9" t="n">
        <v>-0.001907</v>
      </c>
      <c r="D548" s="12" t="n">
        <v>1053.35</v>
      </c>
      <c r="E548" s="15" t="n">
        <v>0.004224</v>
      </c>
      <c r="F548" s="18" t="n">
        <v>-0.001907</v>
      </c>
      <c r="G548" t="inlineStr">
        <is>
          <t>Normal</t>
        </is>
      </c>
    </row>
    <row r="549">
      <c r="A549" s="6" t="n">
        <v>46009</v>
      </c>
      <c r="B549" t="inlineStr">
        <is>
          <t>Hard Currency</t>
        </is>
      </c>
      <c r="C549" s="9" t="n">
        <v>0.000313</v>
      </c>
      <c r="D549" s="12" t="n">
        <v>996.9</v>
      </c>
      <c r="E549" s="15" t="n">
        <v>0.004536</v>
      </c>
      <c r="F549" s="18" t="n">
        <v>0.000313</v>
      </c>
      <c r="G549" t="inlineStr">
        <is>
          <t>Risk-On</t>
        </is>
      </c>
    </row>
    <row r="550">
      <c r="A550" s="6" t="n">
        <v>46009</v>
      </c>
      <c r="B550" t="inlineStr">
        <is>
          <t>Local Currency</t>
        </is>
      </c>
      <c r="C550" s="9" t="n">
        <v>0.001195</v>
      </c>
      <c r="D550" s="12" t="n">
        <v>1054.61</v>
      </c>
      <c r="E550" s="15" t="n">
        <v>0.004224</v>
      </c>
      <c r="F550" s="18" t="n">
        <v>0.001195</v>
      </c>
      <c r="G550" t="inlineStr">
        <is>
          <t>Risk-On</t>
        </is>
      </c>
    </row>
    <row r="551">
      <c r="A551" s="6" t="n">
        <v>46014</v>
      </c>
      <c r="B551" t="inlineStr">
        <is>
          <t>Hard Currency</t>
        </is>
      </c>
      <c r="C551" s="9" t="n">
        <v>0.000361</v>
      </c>
      <c r="D551" s="12" t="n">
        <v>997.26</v>
      </c>
      <c r="E551" s="15" t="n">
        <v>0.004536</v>
      </c>
      <c r="F551" s="18" t="n">
        <v>0.000361</v>
      </c>
      <c r="G551" t="inlineStr">
        <is>
          <t>Risk-On</t>
        </is>
      </c>
    </row>
    <row r="552">
      <c r="A552" s="6" t="n">
        <v>46014</v>
      </c>
      <c r="B552" t="inlineStr">
        <is>
          <t>Local Currency</t>
        </is>
      </c>
      <c r="C552" s="9" t="n">
        <v>0.00235</v>
      </c>
      <c r="D552" s="12" t="n">
        <v>1057.09</v>
      </c>
      <c r="E552" s="15" t="n">
        <v>0.004224</v>
      </c>
      <c r="F552" s="18" t="n">
        <v>0.00235</v>
      </c>
      <c r="G552" t="inlineStr">
        <is>
          <t>Risk-On</t>
        </is>
      </c>
    </row>
    <row r="553">
      <c r="A553" s="6" t="n">
        <v>46030</v>
      </c>
      <c r="B553" t="inlineStr">
        <is>
          <t>Hard Currency</t>
        </is>
      </c>
      <c r="C553" s="9" t="n">
        <v>-0.000809</v>
      </c>
      <c r="D553" s="12" t="n">
        <v>996.45</v>
      </c>
      <c r="E553" s="15" t="n">
        <v>0.004536</v>
      </c>
      <c r="F553" s="18" t="n">
        <v>-0.000809</v>
      </c>
      <c r="G553" t="inlineStr">
        <is>
          <t>Risk-On</t>
        </is>
      </c>
    </row>
    <row r="554">
      <c r="A554" s="6" t="n">
        <v>46030</v>
      </c>
      <c r="B554" t="inlineStr">
        <is>
          <t>Local Currency</t>
        </is>
      </c>
      <c r="C554" s="9" t="n">
        <v>-0.000723</v>
      </c>
      <c r="D554" s="12" t="n">
        <v>1056.33</v>
      </c>
      <c r="E554" s="15" t="n">
        <v>0.004224</v>
      </c>
      <c r="F554" s="18" t="n">
        <v>-0.000723</v>
      </c>
      <c r="G554" t="inlineStr">
        <is>
          <t>Risk-On</t>
        </is>
      </c>
    </row>
    <row r="555">
      <c r="A555" s="6" t="n">
        <v>46031</v>
      </c>
      <c r="B555" t="inlineStr">
        <is>
          <t>Hard Currency</t>
        </is>
      </c>
      <c r="C555" s="9" t="n">
        <v>0.001095</v>
      </c>
      <c r="D555" s="12" t="n">
        <v>997.54</v>
      </c>
      <c r="E555" s="15" t="n">
        <v>0.004434</v>
      </c>
      <c r="F555" s="18" t="n">
        <v>0.001095</v>
      </c>
      <c r="G555" t="inlineStr">
        <is>
          <t>Normal</t>
        </is>
      </c>
    </row>
    <row r="556">
      <c r="A556" s="6" t="n">
        <v>46031</v>
      </c>
      <c r="B556" t="inlineStr">
        <is>
          <t>Local Currency</t>
        </is>
      </c>
      <c r="C556" s="9" t="n">
        <v>-0.004099</v>
      </c>
      <c r="D556" s="12" t="n">
        <v>1052</v>
      </c>
      <c r="E556" s="15" t="n">
        <v>0.004224</v>
      </c>
      <c r="F556" s="18" t="n">
        <v>-0.004099</v>
      </c>
      <c r="G556" t="inlineStr">
        <is>
          <t>Normal</t>
        </is>
      </c>
    </row>
    <row r="557">
      <c r="A557" s="6" t="n">
        <v>46034</v>
      </c>
      <c r="B557" t="inlineStr">
        <is>
          <t>Local Currency</t>
        </is>
      </c>
      <c r="C557" s="9" t="n">
        <v>0.000776</v>
      </c>
      <c r="D557" s="12" t="n">
        <v>1052.81</v>
      </c>
      <c r="E557" s="15" t="n">
        <v>0.004224</v>
      </c>
      <c r="F557" s="18" t="n">
        <v>0.000776</v>
      </c>
      <c r="G557" t="inlineStr">
        <is>
          <t>Normal</t>
        </is>
      </c>
    </row>
    <row r="558">
      <c r="A558" s="6" t="n">
        <v>46035</v>
      </c>
      <c r="B558" t="inlineStr">
        <is>
          <t>Hard Currency</t>
        </is>
      </c>
      <c r="C558" s="9" t="n">
        <v>0.001342</v>
      </c>
      <c r="D558" s="12" t="n">
        <v>998.88</v>
      </c>
      <c r="E558" s="15" t="n">
        <v>0.004434</v>
      </c>
      <c r="F558" s="18" t="n">
        <v>0.001342</v>
      </c>
      <c r="G558" t="inlineStr">
        <is>
          <t>Risk-On</t>
        </is>
      </c>
    </row>
    <row r="559">
      <c r="A559" s="6" t="n">
        <v>46035</v>
      </c>
      <c r="B559" t="inlineStr">
        <is>
          <t>Local Currency</t>
        </is>
      </c>
      <c r="C559" s="9" t="n">
        <v>0.000525</v>
      </c>
      <c r="D559" s="12" t="n">
        <v>1053.37</v>
      </c>
      <c r="E559" s="15" t="n">
        <v>0.004224</v>
      </c>
      <c r="F559" s="18" t="n">
        <v>0.000525</v>
      </c>
      <c r="G559" t="inlineStr">
        <is>
          <t>Risk-On</t>
        </is>
      </c>
    </row>
    <row r="560">
      <c r="A560" s="6" t="n">
        <v>46036</v>
      </c>
      <c r="B560" t="inlineStr">
        <is>
          <t>Hard Currency</t>
        </is>
      </c>
      <c r="C560" s="9" t="n">
        <v>0.000488</v>
      </c>
      <c r="D560" s="12" t="n">
        <v>999.37</v>
      </c>
      <c r="E560" s="15" t="n">
        <v>0.004434</v>
      </c>
      <c r="F560" s="18" t="n">
        <v>0.000488</v>
      </c>
      <c r="G560" t="inlineStr">
        <is>
          <t>Risk-On</t>
        </is>
      </c>
    </row>
    <row r="561">
      <c r="A561" s="6" t="n">
        <v>46036</v>
      </c>
      <c r="B561" t="inlineStr">
        <is>
          <t>Local Currency</t>
        </is>
      </c>
      <c r="C561" s="9" t="n">
        <v>-0.001904</v>
      </c>
      <c r="D561" s="12" t="n">
        <v>1051.36</v>
      </c>
      <c r="E561" s="15" t="n">
        <v>0.004224</v>
      </c>
      <c r="F561" s="18" t="n">
        <v>-0.001904</v>
      </c>
      <c r="G561" t="inlineStr">
        <is>
          <t>Risk-On</t>
        </is>
      </c>
    </row>
    <row r="562">
      <c r="A562" s="6" t="n">
        <v>46037</v>
      </c>
      <c r="B562" t="inlineStr">
        <is>
          <t>Hard Currency</t>
        </is>
      </c>
      <c r="C562" s="9" t="n">
        <v>0.005422</v>
      </c>
      <c r="D562" s="12" t="n">
        <v>1004.79</v>
      </c>
      <c r="E562" s="15" t="n">
        <v>0.004434</v>
      </c>
      <c r="F562" s="18" t="n">
        <v>0.005422</v>
      </c>
      <c r="G562" t="inlineStr">
        <is>
          <t>Risk-On</t>
        </is>
      </c>
    </row>
    <row r="563">
      <c r="A563" s="6" t="n">
        <v>46037</v>
      </c>
      <c r="B563" t="inlineStr">
        <is>
          <t>Local Currency</t>
        </is>
      </c>
      <c r="C563" s="9" t="n">
        <v>0.0004929999999999999</v>
      </c>
      <c r="D563" s="12" t="n">
        <v>1051.88</v>
      </c>
      <c r="E563" s="15" t="n">
        <v>0.004224</v>
      </c>
      <c r="F563" s="18" t="n">
        <v>0.0004929999999999999</v>
      </c>
      <c r="G563" t="inlineStr">
        <is>
          <t>Risk-On</t>
        </is>
      </c>
    </row>
    <row r="564">
      <c r="A564" s="6" t="n">
        <v>46038</v>
      </c>
      <c r="B564" t="inlineStr">
        <is>
          <t>Hard Currency</t>
        </is>
      </c>
      <c r="C564" s="9" t="n">
        <v>-0.002344</v>
      </c>
      <c r="D564" s="12" t="n">
        <v>1002.43</v>
      </c>
      <c r="E564" s="15" t="n">
        <v>0.004434</v>
      </c>
      <c r="F564" s="18" t="n">
        <v>-0.002344</v>
      </c>
      <c r="G564" t="inlineStr">
        <is>
          <t>Risk-On</t>
        </is>
      </c>
    </row>
    <row r="565">
      <c r="A565" s="6" t="n">
        <v>46038</v>
      </c>
      <c r="B565" t="inlineStr">
        <is>
          <t>Local Currency</t>
        </is>
      </c>
      <c r="C565" s="9" t="n">
        <v>-0.003201</v>
      </c>
      <c r="D565" s="12" t="n">
        <v>1048.51</v>
      </c>
      <c r="E565" s="15" t="n">
        <v>0.004224</v>
      </c>
      <c r="F565" s="18" t="n">
        <v>-0.003201</v>
      </c>
      <c r="G565" t="inlineStr">
        <is>
          <t>Risk-On</t>
        </is>
      </c>
    </row>
    <row r="566">
      <c r="A566" s="6" t="n">
        <v>46041</v>
      </c>
      <c r="B566" t="inlineStr">
        <is>
          <t>Hard Currency</t>
        </is>
      </c>
      <c r="C566" s="9" t="n">
        <v>-0.000893</v>
      </c>
      <c r="D566" s="12" t="n">
        <v>1001.54</v>
      </c>
      <c r="E566" s="15" t="n">
        <v>0.004434</v>
      </c>
      <c r="F566" s="18" t="n">
        <v>-0.000893</v>
      </c>
      <c r="G566" t="inlineStr">
        <is>
          <t>Risk-On</t>
        </is>
      </c>
    </row>
    <row r="567">
      <c r="A567" s="6" t="n">
        <v>46041</v>
      </c>
      <c r="B567" t="inlineStr">
        <is>
          <t>Local Currency</t>
        </is>
      </c>
      <c r="C567" s="9" t="n">
        <v>-0.000119</v>
      </c>
      <c r="D567" s="12" t="n">
        <v>1048.39</v>
      </c>
      <c r="E567" s="15" t="n">
        <v>0.004224</v>
      </c>
      <c r="F567" s="18" t="n">
        <v>-0.000119</v>
      </c>
      <c r="G567" t="inlineStr">
        <is>
          <t>Risk-On</t>
        </is>
      </c>
    </row>
    <row r="568">
      <c r="A568" s="6" t="n">
        <v>46042</v>
      </c>
      <c r="B568" t="inlineStr">
        <is>
          <t>Hard Currency</t>
        </is>
      </c>
      <c r="C568" s="9" t="n">
        <v>-0.000794</v>
      </c>
      <c r="D568" s="12" t="n">
        <v>1000.74</v>
      </c>
      <c r="E568" s="15" t="n">
        <v>0.004434</v>
      </c>
      <c r="F568" s="18" t="n">
        <v>-0.000794</v>
      </c>
      <c r="G568" t="inlineStr">
        <is>
          <t>Risk-On</t>
        </is>
      </c>
    </row>
    <row r="569">
      <c r="A569" s="6" t="n">
        <v>46042</v>
      </c>
      <c r="B569" t="inlineStr">
        <is>
          <t>Local Currency</t>
        </is>
      </c>
      <c r="C569" s="9" t="n">
        <v>-0.001208</v>
      </c>
      <c r="D569" s="12" t="n">
        <v>1047.12</v>
      </c>
      <c r="E569" s="15" t="n">
        <v>0.004224</v>
      </c>
      <c r="F569" s="18" t="n">
        <v>-0.001208</v>
      </c>
      <c r="G569" t="inlineStr">
        <is>
          <t>Risk-On</t>
        </is>
      </c>
    </row>
    <row r="570">
      <c r="A570" s="6" t="n">
        <v>46043</v>
      </c>
      <c r="B570" t="inlineStr">
        <is>
          <t>Hard Currency</t>
        </is>
      </c>
      <c r="C570" s="9" t="n">
        <v>-0.000453</v>
      </c>
      <c r="D570" s="12" t="n">
        <v>1000.29</v>
      </c>
      <c r="E570" s="15" t="n">
        <v>0.004434</v>
      </c>
      <c r="F570" s="18" t="n">
        <v>-0.000453</v>
      </c>
      <c r="G570" t="inlineStr">
        <is>
          <t>Risk-On</t>
        </is>
      </c>
    </row>
    <row r="571">
      <c r="A571" s="6" t="n">
        <v>46043</v>
      </c>
      <c r="B571" t="inlineStr">
        <is>
          <t>Local Currency</t>
        </is>
      </c>
      <c r="C571" s="9" t="n">
        <v>0.001265</v>
      </c>
      <c r="D571" s="12" t="n">
        <v>1048.45</v>
      </c>
      <c r="E571" s="15" t="n">
        <v>0.004224</v>
      </c>
      <c r="F571" s="18" t="n">
        <v>0.001265</v>
      </c>
      <c r="G571" t="inlineStr">
        <is>
          <t>Risk-On</t>
        </is>
      </c>
    </row>
    <row r="572">
      <c r="A572" s="6" t="n">
        <v>46044</v>
      </c>
      <c r="B572" t="inlineStr">
        <is>
          <t>Hard Currency</t>
        </is>
      </c>
      <c r="C572" s="9" t="n">
        <v>0.002781</v>
      </c>
      <c r="D572" s="12" t="n">
        <v>1003.07</v>
      </c>
      <c r="E572" s="15" t="n">
        <v>0.004434</v>
      </c>
      <c r="F572" s="18" t="n">
        <v>0.002781</v>
      </c>
      <c r="G572" t="inlineStr">
        <is>
          <t>Risk-On</t>
        </is>
      </c>
    </row>
    <row r="573">
      <c r="A573" s="6" t="n">
        <v>46044</v>
      </c>
      <c r="B573" t="inlineStr">
        <is>
          <t>Local Currency</t>
        </is>
      </c>
      <c r="C573" s="9" t="n">
        <v>0.002824</v>
      </c>
      <c r="D573" s="12" t="n">
        <v>1051.41</v>
      </c>
      <c r="E573" s="15" t="n">
        <v>0.004224</v>
      </c>
      <c r="F573" s="18" t="n">
        <v>0.002824</v>
      </c>
      <c r="G573" t="inlineStr">
        <is>
          <t>Risk-On</t>
        </is>
      </c>
    </row>
    <row r="574">
      <c r="A574" s="6" t="n">
        <v>46045</v>
      </c>
      <c r="B574" t="inlineStr">
        <is>
          <t>Hard Currency</t>
        </is>
      </c>
      <c r="C574" s="9" t="n">
        <v>0.00062</v>
      </c>
      <c r="D574" s="12" t="n">
        <v>1003.69</v>
      </c>
      <c r="E574" s="15" t="n">
        <v>0.004434</v>
      </c>
      <c r="F574" s="18" t="n">
        <v>0.00062</v>
      </c>
      <c r="G574" t="inlineStr">
        <is>
          <t>Risk-On</t>
        </is>
      </c>
    </row>
    <row r="575">
      <c r="A575" s="6" t="n">
        <v>46045</v>
      </c>
      <c r="B575" t="inlineStr">
        <is>
          <t>Local Currency</t>
        </is>
      </c>
      <c r="C575" s="9" t="n">
        <v>0.001842</v>
      </c>
      <c r="D575" s="12" t="n">
        <v>1053.34</v>
      </c>
      <c r="E575" s="15" t="n">
        <v>0.004224</v>
      </c>
      <c r="F575" s="18" t="n">
        <v>0.001842</v>
      </c>
      <c r="G575" t="inlineStr">
        <is>
          <t>Risk-On</t>
        </is>
      </c>
    </row>
    <row r="576">
      <c r="A576" s="6" t="n">
        <v>46048</v>
      </c>
      <c r="B576" t="inlineStr">
        <is>
          <t>Hard Currency</t>
        </is>
      </c>
      <c r="C576" s="9" t="n">
        <v>-0.000923</v>
      </c>
      <c r="D576" s="12" t="n">
        <v>1002.76</v>
      </c>
      <c r="E576" s="15" t="n">
        <v>0.004434</v>
      </c>
      <c r="F576" s="18" t="n">
        <v>-0.000923</v>
      </c>
      <c r="G576" t="inlineStr">
        <is>
          <t>Risk-On</t>
        </is>
      </c>
    </row>
    <row r="577">
      <c r="A577" s="6" t="n">
        <v>46048</v>
      </c>
      <c r="B577" t="inlineStr">
        <is>
          <t>Local Currency</t>
        </is>
      </c>
      <c r="C577" s="9" t="n">
        <v>0.002077</v>
      </c>
      <c r="D577" s="12" t="n">
        <v>1055.53</v>
      </c>
      <c r="E577" s="15" t="n">
        <v>0.004224</v>
      </c>
      <c r="F577" s="18" t="n">
        <v>0.002077</v>
      </c>
      <c r="G577" t="inlineStr">
        <is>
          <t>Risk-On</t>
        </is>
      </c>
    </row>
    <row r="578">
      <c r="A578" s="6" t="n">
        <v>46049</v>
      </c>
      <c r="B578" t="inlineStr">
        <is>
          <t>Hard Currency</t>
        </is>
      </c>
      <c r="C578" s="9" t="n">
        <v>0.002931</v>
      </c>
      <c r="D578" s="12" t="n">
        <v>1005.7</v>
      </c>
      <c r="E578" s="15" t="n">
        <v>0.004434</v>
      </c>
      <c r="F578" s="18" t="n">
        <v>0.002931</v>
      </c>
      <c r="G578" t="inlineStr">
        <is>
          <t>Risk-On</t>
        </is>
      </c>
    </row>
    <row r="579">
      <c r="A579" s="6" t="n">
        <v>46049</v>
      </c>
      <c r="B579" t="inlineStr">
        <is>
          <t>Local Currency</t>
        </is>
      </c>
      <c r="C579" s="9" t="n">
        <v>0.003124</v>
      </c>
      <c r="D579" s="12" t="n">
        <v>1058.83</v>
      </c>
      <c r="E579" s="15" t="n">
        <v>0.004224</v>
      </c>
      <c r="F579" s="18" t="n">
        <v>0.003124</v>
      </c>
      <c r="G579" t="inlineStr">
        <is>
          <t>Risk-On</t>
        </is>
      </c>
    </row>
    <row r="580">
      <c r="A580" s="6" t="n">
        <v>46050</v>
      </c>
      <c r="B580" t="inlineStr">
        <is>
          <t>Hard Currency</t>
        </is>
      </c>
      <c r="C580" s="9" t="n">
        <v>0.00147</v>
      </c>
      <c r="D580" s="12" t="n">
        <v>1007.18</v>
      </c>
      <c r="E580" s="15" t="n">
        <v>0.004434</v>
      </c>
      <c r="F580" s="18" t="n">
        <v>0.00147</v>
      </c>
      <c r="G580" t="inlineStr">
        <is>
          <t>Risk-On</t>
        </is>
      </c>
    </row>
    <row r="581">
      <c r="A581" s="6" t="n">
        <v>46050</v>
      </c>
      <c r="B581" t="inlineStr">
        <is>
          <t>Local Currency</t>
        </is>
      </c>
      <c r="C581" s="9" t="n">
        <v>0.001576</v>
      </c>
      <c r="D581" s="12" t="n">
        <v>1060.5</v>
      </c>
      <c r="E581" s="15" t="n">
        <v>0.004224</v>
      </c>
      <c r="F581" s="18" t="n">
        <v>0.001576</v>
      </c>
      <c r="G581" t="inlineStr">
        <is>
          <t>Risk-On</t>
        </is>
      </c>
    </row>
    <row r="582">
      <c r="A582" s="6" t="n">
        <v>46051</v>
      </c>
      <c r="B582" t="inlineStr">
        <is>
          <t>Hard Currency</t>
        </is>
      </c>
      <c r="C582" s="9" t="n">
        <v>-0.001155</v>
      </c>
      <c r="D582" s="12" t="n">
        <v>1006.02</v>
      </c>
      <c r="E582" s="15" t="n">
        <v>0.004434</v>
      </c>
      <c r="F582" s="18" t="n">
        <v>-0.001155</v>
      </c>
      <c r="G582" t="inlineStr">
        <is>
          <t>Risk-On</t>
        </is>
      </c>
    </row>
    <row r="583">
      <c r="A583" s="6" t="n">
        <v>46051</v>
      </c>
      <c r="B583" t="inlineStr">
        <is>
          <t>Local Currency</t>
        </is>
      </c>
      <c r="C583" s="9" t="n">
        <v>0.001809</v>
      </c>
      <c r="D583" s="12" t="n">
        <v>1062.41</v>
      </c>
      <c r="E583" s="15" t="n">
        <v>0.004224</v>
      </c>
      <c r="F583" s="18" t="n">
        <v>0.001809</v>
      </c>
      <c r="G583" t="inlineStr">
        <is>
          <t>Risk-On</t>
        </is>
      </c>
    </row>
    <row r="584">
      <c r="A584" s="6" t="n">
        <v>46052</v>
      </c>
      <c r="B584" t="inlineStr">
        <is>
          <t>Hard Currency</t>
        </is>
      </c>
      <c r="C584" s="9" t="n">
        <v>3.1e-05</v>
      </c>
      <c r="D584" s="12" t="n">
        <v>1006.05</v>
      </c>
      <c r="E584" s="15" t="n">
        <v>0.004434</v>
      </c>
      <c r="F584" s="18" t="n">
        <v>3.1e-05</v>
      </c>
      <c r="G584" t="inlineStr">
        <is>
          <t>Risk-On</t>
        </is>
      </c>
    </row>
    <row r="585">
      <c r="A585" s="6" t="n">
        <v>46052</v>
      </c>
      <c r="B585" t="inlineStr">
        <is>
          <t>Local Currency</t>
        </is>
      </c>
      <c r="C585" s="9" t="n">
        <v>0.00057</v>
      </c>
      <c r="D585" s="12" t="n">
        <v>1063.02</v>
      </c>
      <c r="E585" s="15" t="n">
        <v>0.004224</v>
      </c>
      <c r="F585" s="18" t="n">
        <v>0.00057</v>
      </c>
      <c r="G585" t="inlineStr">
        <is>
          <t>Risk-On</t>
        </is>
      </c>
    </row>
    <row r="586">
      <c r="A586" s="6" t="n">
        <v>46055</v>
      </c>
      <c r="B586" t="inlineStr">
        <is>
          <t>Hard Currency</t>
        </is>
      </c>
      <c r="C586" s="9" t="n">
        <v>-0.002479</v>
      </c>
      <c r="D586" s="12" t="n">
        <v>1003.55</v>
      </c>
      <c r="E586" s="15" t="n">
        <v>0.004434</v>
      </c>
      <c r="F586" s="18" t="n">
        <v>-0.002479</v>
      </c>
      <c r="G586" t="inlineStr">
        <is>
          <t>Risk-On</t>
        </is>
      </c>
    </row>
    <row r="587">
      <c r="A587" s="6" t="n">
        <v>46055</v>
      </c>
      <c r="B587" t="inlineStr">
        <is>
          <t>Local Currency</t>
        </is>
      </c>
      <c r="C587" s="9" t="n">
        <v>-0.00211</v>
      </c>
      <c r="D587" s="12" t="n">
        <v>1060.78</v>
      </c>
      <c r="E587" s="15" t="n">
        <v>0.004224</v>
      </c>
      <c r="F587" s="18" t="n">
        <v>-0.00211</v>
      </c>
      <c r="G587" t="inlineStr">
        <is>
          <t>Risk-On</t>
        </is>
      </c>
    </row>
    <row r="588">
      <c r="A588" s="6" t="n">
        <v>46056</v>
      </c>
      <c r="B588" t="inlineStr">
        <is>
          <t>Hard Currency</t>
        </is>
      </c>
      <c r="C588" s="9" t="n">
        <v>-0.001116</v>
      </c>
      <c r="D588" s="12" t="n">
        <v>1002.43</v>
      </c>
      <c r="E588" s="15" t="n">
        <v>0.004434</v>
      </c>
      <c r="F588" s="18" t="n">
        <v>-0.001116</v>
      </c>
      <c r="G588" t="inlineStr">
        <is>
          <t>Risk-On</t>
        </is>
      </c>
    </row>
    <row r="589">
      <c r="A589" s="6" t="n">
        <v>46056</v>
      </c>
      <c r="B589" t="inlineStr">
        <is>
          <t>Local Currency</t>
        </is>
      </c>
      <c r="C589" s="9" t="n">
        <v>0.001627</v>
      </c>
      <c r="D589" s="12" t="n">
        <v>1062.5</v>
      </c>
      <c r="E589" s="15" t="n">
        <v>0.004224</v>
      </c>
      <c r="F589" s="18" t="n">
        <v>0.001627</v>
      </c>
      <c r="G589" t="inlineStr">
        <is>
          <t>Risk-On</t>
        </is>
      </c>
    </row>
    <row r="590">
      <c r="A590" s="6" t="n">
        <v>46057</v>
      </c>
      <c r="B590" t="inlineStr">
        <is>
          <t>Hard Currency</t>
        </is>
      </c>
      <c r="C590" s="9" t="n">
        <v>-0.001942</v>
      </c>
      <c r="D590" s="12" t="n">
        <v>1000.49</v>
      </c>
      <c r="E590" s="15" t="n">
        <v>0.004434</v>
      </c>
      <c r="F590" s="18" t="n">
        <v>-0.001942</v>
      </c>
      <c r="G590" t="inlineStr">
        <is>
          <t>Risk-On</t>
        </is>
      </c>
    </row>
    <row r="591">
      <c r="A591" s="6" t="n">
        <v>46057</v>
      </c>
      <c r="B591" t="inlineStr">
        <is>
          <t>Local Currency</t>
        </is>
      </c>
      <c r="C591" s="9" t="n">
        <v>-0.001687</v>
      </c>
      <c r="D591" s="12" t="n">
        <v>1060.71</v>
      </c>
      <c r="E591" s="15" t="n">
        <v>0.004224</v>
      </c>
      <c r="F591" s="18" t="n">
        <v>-0.001687</v>
      </c>
      <c r="G591" t="inlineStr">
        <is>
          <t>Risk-On</t>
        </is>
      </c>
    </row>
    <row r="592">
      <c r="A592" s="6" t="n">
        <v>46058</v>
      </c>
      <c r="B592" t="inlineStr">
        <is>
          <t>Hard Currency</t>
        </is>
      </c>
      <c r="C592" s="9" t="n">
        <v>-0.000196</v>
      </c>
      <c r="D592" s="12" t="n">
        <v>1000.29</v>
      </c>
      <c r="E592" s="15" t="n">
        <v>0.004434</v>
      </c>
      <c r="F592" s="18" t="n">
        <v>-0.000196</v>
      </c>
      <c r="G592" t="inlineStr">
        <is>
          <t>Risk-On</t>
        </is>
      </c>
    </row>
    <row r="593">
      <c r="A593" s="6" t="n">
        <v>46058</v>
      </c>
      <c r="B593" t="inlineStr">
        <is>
          <t>Local Currency</t>
        </is>
      </c>
      <c r="C593" s="9" t="n">
        <v>0.000187</v>
      </c>
      <c r="D593" s="12" t="n">
        <v>1060.91</v>
      </c>
      <c r="E593" s="15" t="n">
        <v>0.004109</v>
      </c>
      <c r="F593" s="18" t="n">
        <v>0.000187</v>
      </c>
      <c r="G593" t="inlineStr">
        <is>
          <t>Risk-On</t>
        </is>
      </c>
    </row>
    <row r="594">
      <c r="A594" s="6" t="n">
        <v>46059</v>
      </c>
      <c r="B594" t="inlineStr">
        <is>
          <t>Hard Currency</t>
        </is>
      </c>
      <c r="C594" s="9" t="n">
        <v>-0.002107</v>
      </c>
      <c r="D594" s="12" t="n">
        <v>998.1799999999999</v>
      </c>
      <c r="E594" s="15" t="n">
        <v>0.004434</v>
      </c>
      <c r="F594" s="18" t="n">
        <v>-0.002107</v>
      </c>
      <c r="G594" t="inlineStr">
        <is>
          <t>Risk-On</t>
        </is>
      </c>
    </row>
    <row r="595">
      <c r="A595" s="6" t="n">
        <v>46059</v>
      </c>
      <c r="B595" t="inlineStr">
        <is>
          <t>Local Currency</t>
        </is>
      </c>
      <c r="C595" s="9" t="n">
        <v>0.000818</v>
      </c>
      <c r="D595" s="12" t="n">
        <v>1061.78</v>
      </c>
      <c r="E595" s="15" t="n">
        <v>0.004109</v>
      </c>
      <c r="F595" s="18" t="n">
        <v>0.000818</v>
      </c>
      <c r="G595" t="inlineStr">
        <is>
          <t>Risk-On</t>
        </is>
      </c>
    </row>
    <row r="596">
      <c r="A596" s="6" t="n">
        <v>46062</v>
      </c>
      <c r="B596" t="inlineStr">
        <is>
          <t>Hard Currency</t>
        </is>
      </c>
      <c r="C596" s="9" t="n">
        <v>0.00118</v>
      </c>
      <c r="D596" s="12" t="n">
        <v>999.36</v>
      </c>
      <c r="E596" s="15" t="n">
        <v>0.004434</v>
      </c>
      <c r="F596" s="18" t="n">
        <v>0.00118</v>
      </c>
      <c r="G596" t="inlineStr">
        <is>
          <t>Risk-On</t>
        </is>
      </c>
    </row>
    <row r="597">
      <c r="A597" s="6" t="n">
        <v>46062</v>
      </c>
      <c r="B597" t="inlineStr">
        <is>
          <t>Local Currency</t>
        </is>
      </c>
      <c r="C597" s="9" t="n">
        <v>0.001298</v>
      </c>
      <c r="D597" s="12" t="n">
        <v>1063.15</v>
      </c>
      <c r="E597" s="15" t="n">
        <v>0.004109</v>
      </c>
      <c r="F597" s="18" t="n">
        <v>0.001298</v>
      </c>
      <c r="G597" t="inlineStr">
        <is>
          <t>Risk-On</t>
        </is>
      </c>
    </row>
    <row r="598">
      <c r="A598" s="6" t="n">
        <v>46063</v>
      </c>
      <c r="B598" t="inlineStr">
        <is>
          <t>Hard Currency</t>
        </is>
      </c>
      <c r="C598" s="9" t="n">
        <v>0.003148</v>
      </c>
      <c r="D598" s="12" t="n">
        <v>1002.51</v>
      </c>
      <c r="E598" s="15" t="n">
        <v>0.004434</v>
      </c>
      <c r="F598" s="18" t="n">
        <v>0.003148</v>
      </c>
      <c r="G598" t="inlineStr">
        <is>
          <t>Risk-On</t>
        </is>
      </c>
    </row>
    <row r="599">
      <c r="A599" s="6" t="n">
        <v>46063</v>
      </c>
      <c r="B599" t="inlineStr">
        <is>
          <t>Local Currency</t>
        </is>
      </c>
      <c r="C599" s="9" t="n">
        <v>0.000898</v>
      </c>
      <c r="D599" s="12" t="n">
        <v>1064.11</v>
      </c>
      <c r="E599" s="15" t="n">
        <v>0.004073</v>
      </c>
      <c r="F599" s="18" t="n">
        <v>0.000898</v>
      </c>
      <c r="G599" t="inlineStr">
        <is>
          <t>Risk-On</t>
        </is>
      </c>
    </row>
    <row r="600">
      <c r="A600" s="6" t="n">
        <v>46064</v>
      </c>
      <c r="B600" t="inlineStr">
        <is>
          <t>Hard Currency</t>
        </is>
      </c>
      <c r="C600" s="9" t="n">
        <v>-0.000915</v>
      </c>
      <c r="D600" s="12" t="n">
        <v>1001.59</v>
      </c>
      <c r="E600" s="15" t="n">
        <v>0.004434</v>
      </c>
      <c r="F600" s="18" t="n">
        <v>-0.000915</v>
      </c>
      <c r="G600" t="inlineStr">
        <is>
          <t>Risk-On</t>
        </is>
      </c>
    </row>
    <row r="601">
      <c r="A601" s="6" t="n">
        <v>46064</v>
      </c>
      <c r="B601" t="inlineStr">
        <is>
          <t>Local Currency</t>
        </is>
      </c>
      <c r="C601" s="9" t="n">
        <v>0.00081</v>
      </c>
      <c r="D601" s="12" t="n">
        <v>1064.97</v>
      </c>
      <c r="E601" s="15" t="n">
        <v>0.004073</v>
      </c>
      <c r="F601" s="18" t="n">
        <v>0.00081</v>
      </c>
      <c r="G601" t="inlineStr">
        <is>
          <t>Risk-On</t>
        </is>
      </c>
    </row>
    <row r="602">
      <c r="A602" s="6" t="n">
        <v>46065</v>
      </c>
      <c r="B602" t="inlineStr">
        <is>
          <t>Hard Currency</t>
        </is>
      </c>
      <c r="C602" s="9" t="n">
        <v>0.003058</v>
      </c>
      <c r="D602" s="12" t="n">
        <v>1004.65</v>
      </c>
      <c r="E602" s="15" t="n">
        <v>0.004434</v>
      </c>
      <c r="F602" s="18" t="n">
        <v>0.003058</v>
      </c>
      <c r="G602" t="inlineStr">
        <is>
          <t>Risk-On</t>
        </is>
      </c>
    </row>
    <row r="603">
      <c r="A603" s="6" t="n">
        <v>46065</v>
      </c>
      <c r="B603" t="inlineStr">
        <is>
          <t>Local Currency</t>
        </is>
      </c>
      <c r="C603" s="9" t="n">
        <v>0.001317</v>
      </c>
      <c r="D603" s="12" t="n">
        <v>1066.37</v>
      </c>
      <c r="E603" s="15" t="n">
        <v>0.004073</v>
      </c>
      <c r="F603" s="18" t="n">
        <v>0.001317</v>
      </c>
      <c r="G603" t="inlineStr">
        <is>
          <t>Risk-On</t>
        </is>
      </c>
    </row>
    <row r="604">
      <c r="A604" s="6" t="n">
        <v>46066</v>
      </c>
      <c r="B604" t="inlineStr">
        <is>
          <t>Hard Currency</t>
        </is>
      </c>
      <c r="C604" s="9" t="n">
        <v>0.001418</v>
      </c>
      <c r="D604" s="12" t="n">
        <v>1006.08</v>
      </c>
      <c r="E604" s="15" t="n">
        <v>0.004434</v>
      </c>
      <c r="F604" s="18" t="n">
        <v>0.001418</v>
      </c>
      <c r="G604" t="inlineStr">
        <is>
          <t>Risk-On</t>
        </is>
      </c>
    </row>
    <row r="605">
      <c r="A605" s="6" t="n">
        <v>46066</v>
      </c>
      <c r="B605" t="inlineStr">
        <is>
          <t>Local Currency</t>
        </is>
      </c>
      <c r="C605" s="9" t="n">
        <v>0.000871</v>
      </c>
      <c r="D605" s="12" t="n">
        <v>1067.3</v>
      </c>
      <c r="E605" s="15" t="n">
        <v>0.004073</v>
      </c>
      <c r="F605" s="18" t="n">
        <v>0.000871</v>
      </c>
      <c r="G605" t="inlineStr">
        <is>
          <t>Risk-On</t>
        </is>
      </c>
    </row>
    <row r="606">
      <c r="A606" s="6" t="n">
        <v>46071</v>
      </c>
      <c r="B606" t="inlineStr">
        <is>
          <t>Hard Currency</t>
        </is>
      </c>
      <c r="C606" s="9" t="n">
        <v>0.001085</v>
      </c>
      <c r="D606" s="12" t="n">
        <v>1007.17</v>
      </c>
      <c r="E606" s="15" t="n">
        <v>0.004434</v>
      </c>
      <c r="F606" s="18" t="n">
        <v>0.001085</v>
      </c>
      <c r="G606" t="inlineStr">
        <is>
          <t>Risk-On</t>
        </is>
      </c>
    </row>
    <row r="607">
      <c r="A607" s="6" t="n">
        <v>46071</v>
      </c>
      <c r="B607" t="inlineStr">
        <is>
          <t>Local Currency</t>
        </is>
      </c>
      <c r="C607" s="9" t="n">
        <v>0.001255</v>
      </c>
      <c r="D607" s="12" t="n">
        <v>1068.64</v>
      </c>
      <c r="E607" s="15" t="n">
        <v>0.004073</v>
      </c>
      <c r="F607" s="18" t="n">
        <v>0.001255</v>
      </c>
      <c r="G607" t="inlineStr">
        <is>
          <t>Risk-On</t>
        </is>
      </c>
    </row>
    <row r="608">
      <c r="A608" s="6" t="n">
        <v>46072</v>
      </c>
      <c r="B608" t="inlineStr">
        <is>
          <t>Hard Currency</t>
        </is>
      </c>
      <c r="C608" s="9" t="n">
        <v>-0.00179</v>
      </c>
      <c r="D608" s="12" t="n">
        <v>1005.37</v>
      </c>
      <c r="E608" s="15" t="n">
        <v>0.004399</v>
      </c>
      <c r="F608" s="18" t="n">
        <v>-0.00179</v>
      </c>
      <c r="G608" t="inlineStr">
        <is>
          <t>Risk-On</t>
        </is>
      </c>
    </row>
    <row r="609">
      <c r="A609" s="6" t="n">
        <v>46072</v>
      </c>
      <c r="B609" t="inlineStr">
        <is>
          <t>Local Currency</t>
        </is>
      </c>
      <c r="C609" s="9" t="n">
        <v>-0.002274</v>
      </c>
      <c r="D609" s="12" t="n">
        <v>1066.21</v>
      </c>
      <c r="E609" s="15" t="n">
        <v>0.004073</v>
      </c>
      <c r="F609" s="18" t="n">
        <v>-0.002274</v>
      </c>
      <c r="G609" t="inlineStr">
        <is>
          <t>Risk-On</t>
        </is>
      </c>
    </row>
    <row r="610">
      <c r="A610" s="6" t="n">
        <v>46073</v>
      </c>
      <c r="B610" t="inlineStr">
        <is>
          <t>Hard Currency</t>
        </is>
      </c>
      <c r="C610" s="9" t="n">
        <v>-0.000271</v>
      </c>
      <c r="D610" s="12" t="n">
        <v>1005.09</v>
      </c>
      <c r="E610" s="15" t="n">
        <v>0.004399</v>
      </c>
      <c r="F610" s="18" t="n">
        <v>-0.000271</v>
      </c>
      <c r="G610" t="inlineStr">
        <is>
          <t>Risk-On</t>
        </is>
      </c>
    </row>
    <row r="611">
      <c r="A611" s="6" t="n">
        <v>46073</v>
      </c>
      <c r="B611" t="inlineStr">
        <is>
          <t>Local Currency</t>
        </is>
      </c>
      <c r="C611" s="9" t="n">
        <v>0.000272</v>
      </c>
      <c r="D611" s="12" t="n">
        <v>1066.5</v>
      </c>
      <c r="E611" s="15" t="n">
        <v>0.004073</v>
      </c>
      <c r="F611" s="18" t="n">
        <v>0.000272</v>
      </c>
      <c r="G611" t="inlineStr">
        <is>
          <t>Risk-On</t>
        </is>
      </c>
    </row>
    <row r="612">
      <c r="A612" s="6" t="n">
        <v>46076</v>
      </c>
      <c r="B612" t="inlineStr">
        <is>
          <t>Hard Currency</t>
        </is>
      </c>
      <c r="C612" s="9" t="n">
        <v>-0.001692</v>
      </c>
      <c r="D612" s="12" t="n">
        <v>1003.39</v>
      </c>
      <c r="E612" s="15" t="n">
        <v>0.004399</v>
      </c>
      <c r="F612" s="18" t="n">
        <v>-0.001692</v>
      </c>
      <c r="G612" t="inlineStr">
        <is>
          <t>Risk-On</t>
        </is>
      </c>
    </row>
    <row r="613">
      <c r="A613" s="6" t="n">
        <v>46076</v>
      </c>
      <c r="B613" t="inlineStr">
        <is>
          <t>Local Currency</t>
        </is>
      </c>
      <c r="C613" s="9" t="n">
        <v>0.001414</v>
      </c>
      <c r="D613" s="12" t="n">
        <v>1068.01</v>
      </c>
      <c r="E613" s="15" t="n">
        <v>0.004073</v>
      </c>
      <c r="F613" s="18" t="n">
        <v>0.001414</v>
      </c>
      <c r="G613" t="inlineStr">
        <is>
          <t>Risk-On</t>
        </is>
      </c>
    </row>
    <row r="614">
      <c r="A614" s="6" t="n">
        <v>46077</v>
      </c>
      <c r="B614" t="inlineStr">
        <is>
          <t>Hard Currency</t>
        </is>
      </c>
      <c r="C614" s="9" t="n">
        <v>-0.004505</v>
      </c>
      <c r="D614" s="12" t="n">
        <v>998.87</v>
      </c>
      <c r="E614" s="15" t="n">
        <v>0.004434</v>
      </c>
      <c r="F614" s="18" t="n">
        <v>-0.004505</v>
      </c>
      <c r="G614" t="inlineStr">
        <is>
          <t>Risk-On</t>
        </is>
      </c>
    </row>
    <row r="615">
      <c r="A615" s="6" t="n">
        <v>46077</v>
      </c>
      <c r="B615" t="inlineStr">
        <is>
          <t>Local Currency</t>
        </is>
      </c>
      <c r="C615" s="9" t="n">
        <v>0.000474</v>
      </c>
      <c r="D615" s="12" t="n">
        <v>1068.52</v>
      </c>
      <c r="E615" s="15" t="n">
        <v>0.004073</v>
      </c>
      <c r="F615" s="18" t="n">
        <v>0.000474</v>
      </c>
      <c r="G615" t="inlineStr">
        <is>
          <t>Risk-On</t>
        </is>
      </c>
    </row>
    <row r="616">
      <c r="A616" s="6" t="n">
        <v>46078</v>
      </c>
      <c r="B616" t="inlineStr">
        <is>
          <t>Hard Currency</t>
        </is>
      </c>
      <c r="C616" s="9" t="n">
        <v>-0.000813</v>
      </c>
      <c r="D616" s="12" t="n">
        <v>998.0599999999999</v>
      </c>
      <c r="E616" s="15" t="n">
        <v>0.004434</v>
      </c>
      <c r="F616" s="18" t="n">
        <v>-0.000813</v>
      </c>
      <c r="G616" t="inlineStr">
        <is>
          <t>Risk-On</t>
        </is>
      </c>
    </row>
    <row r="617">
      <c r="A617" s="6" t="n">
        <v>46078</v>
      </c>
      <c r="B617" t="inlineStr">
        <is>
          <t>Local Currency</t>
        </is>
      </c>
      <c r="C617" s="9" t="n">
        <v>0.002094</v>
      </c>
      <c r="D617" s="12" t="n">
        <v>1070.75</v>
      </c>
      <c r="E617" s="15" t="n">
        <v>0.004073</v>
      </c>
      <c r="F617" s="18" t="n">
        <v>0.002094</v>
      </c>
      <c r="G617" t="inlineStr">
        <is>
          <t>Risk-On</t>
        </is>
      </c>
    </row>
    <row r="618">
      <c r="A618" s="6" t="n">
        <v>46079</v>
      </c>
      <c r="B618" t="inlineStr">
        <is>
          <t>Hard Currency</t>
        </is>
      </c>
      <c r="C618" s="9" t="n">
        <v>-0.004275</v>
      </c>
      <c r="D618" s="12" t="n">
        <v>993.8</v>
      </c>
      <c r="E618" s="15" t="n">
        <v>0.004434</v>
      </c>
      <c r="F618" s="18" t="n">
        <v>-0.004275</v>
      </c>
      <c r="G618" t="inlineStr">
        <is>
          <t>Risk-On</t>
        </is>
      </c>
    </row>
    <row r="619">
      <c r="A619" s="6" t="n">
        <v>46079</v>
      </c>
      <c r="B619" t="inlineStr">
        <is>
          <t>Local Currency</t>
        </is>
      </c>
      <c r="C619" s="9" t="n">
        <v>-0.000125</v>
      </c>
      <c r="D619" s="12" t="n">
        <v>1070.62</v>
      </c>
      <c r="E619" s="15" t="n">
        <v>0.004073</v>
      </c>
      <c r="F619" s="18" t="n">
        <v>-0.000125</v>
      </c>
      <c r="G619" t="inlineStr">
        <is>
          <t>Risk-On</t>
        </is>
      </c>
    </row>
    <row r="620">
      <c r="A620" s="6" t="n">
        <v>46080</v>
      </c>
      <c r="B620" t="inlineStr">
        <is>
          <t>Hard Currency</t>
        </is>
      </c>
      <c r="C620" s="9" t="n">
        <v>0.001902</v>
      </c>
      <c r="D620" s="12" t="n">
        <v>995.6900000000001</v>
      </c>
      <c r="E620" s="15" t="n">
        <v>0.004434</v>
      </c>
      <c r="F620" s="18" t="n">
        <v>0.001902</v>
      </c>
      <c r="G620" t="inlineStr">
        <is>
          <t>Risk-On</t>
        </is>
      </c>
    </row>
    <row r="621">
      <c r="A621" s="6" t="n">
        <v>46080</v>
      </c>
      <c r="B621" t="inlineStr">
        <is>
          <t>Local Currency</t>
        </is>
      </c>
      <c r="C621" s="9" t="n">
        <v>-0.0006669999999999999</v>
      </c>
      <c r="D621" s="12" t="n">
        <v>1069.9</v>
      </c>
      <c r="E621" s="15" t="n">
        <v>0.004073</v>
      </c>
      <c r="F621" s="18" t="n">
        <v>-0.0006669999999999999</v>
      </c>
      <c r="G621" t="inlineStr">
        <is>
          <t>Risk-On</t>
        </is>
      </c>
    </row>
    <row r="622">
      <c r="A622" s="6" t="n">
        <v>46083</v>
      </c>
      <c r="B622" t="inlineStr">
        <is>
          <t>Hard Currency</t>
        </is>
      </c>
      <c r="C622" s="9" t="n">
        <v>-0.006136</v>
      </c>
      <c r="D622" s="12" t="n">
        <v>989.58</v>
      </c>
      <c r="E622" s="15" t="n">
        <v>0.004489</v>
      </c>
      <c r="F622" s="18" t="n">
        <v>-0.006136</v>
      </c>
      <c r="G622" t="inlineStr">
        <is>
          <t>Normal</t>
        </is>
      </c>
    </row>
    <row r="623">
      <c r="A623" s="6" t="n">
        <v>46083</v>
      </c>
      <c r="B623" t="inlineStr">
        <is>
          <t>Local Currency</t>
        </is>
      </c>
      <c r="C623" s="9" t="n">
        <v>-0.006315</v>
      </c>
      <c r="D623" s="12" t="n">
        <v>1063.15</v>
      </c>
      <c r="E623" s="15" t="n">
        <v>0.004109</v>
      </c>
      <c r="F623" s="18" t="n">
        <v>-0.006315</v>
      </c>
      <c r="G623" t="inlineStr">
        <is>
          <t>Normal</t>
        </is>
      </c>
    </row>
    <row r="624">
      <c r="A624" s="6" t="n">
        <v>46084</v>
      </c>
      <c r="B624" t="inlineStr">
        <is>
          <t>Hard Currency</t>
        </is>
      </c>
      <c r="C624" s="9" t="n">
        <v>-0.008</v>
      </c>
      <c r="D624" s="12" t="n">
        <v>981.66</v>
      </c>
      <c r="E624" s="15" t="n">
        <v>0.004552</v>
      </c>
      <c r="F624" s="18" t="n">
        <v>-0.008</v>
      </c>
      <c r="G624" t="inlineStr">
        <is>
          <t>Rate Shock</t>
        </is>
      </c>
    </row>
    <row r="625">
      <c r="A625" s="6" t="n">
        <v>46084</v>
      </c>
      <c r="B625" t="inlineStr">
        <is>
          <t>Local Currency</t>
        </is>
      </c>
      <c r="C625" s="9" t="n">
        <v>-0.005516</v>
      </c>
      <c r="D625" s="12" t="n">
        <v>1057.28</v>
      </c>
      <c r="E625" s="15" t="n">
        <v>0.004268</v>
      </c>
      <c r="F625" s="18" t="n">
        <v>-0.005516</v>
      </c>
      <c r="G625" t="inlineStr">
        <is>
          <t>Rate Shock</t>
        </is>
      </c>
    </row>
    <row r="626">
      <c r="A626" s="6" t="n">
        <v>46085</v>
      </c>
      <c r="B626" t="inlineStr">
        <is>
          <t>Hard Currency</t>
        </is>
      </c>
      <c r="C626" s="9" t="n">
        <v>0.001526</v>
      </c>
      <c r="D626" s="12" t="n">
        <v>983.16</v>
      </c>
      <c r="E626" s="15" t="n">
        <v>0.004552</v>
      </c>
      <c r="F626" s="18" t="n">
        <v>0.001526</v>
      </c>
      <c r="G626" t="inlineStr">
        <is>
          <t>Normal</t>
        </is>
      </c>
    </row>
    <row r="627">
      <c r="A627" s="6" t="n">
        <v>46085</v>
      </c>
      <c r="B627" t="inlineStr">
        <is>
          <t>Local Currency</t>
        </is>
      </c>
      <c r="C627" s="9" t="n">
        <v>-0.000202</v>
      </c>
      <c r="D627" s="12" t="n">
        <v>1057.07</v>
      </c>
      <c r="E627" s="15" t="n">
        <v>0.004268</v>
      </c>
      <c r="F627" s="18" t="n">
        <v>-0.000202</v>
      </c>
      <c r="G627" t="inlineStr">
        <is>
          <t>Normal</t>
        </is>
      </c>
    </row>
    <row r="628">
      <c r="A628" s="6" t="n">
        <v>46086</v>
      </c>
      <c r="B628" t="inlineStr">
        <is>
          <t>Hard Currency</t>
        </is>
      </c>
      <c r="C628" s="9" t="n">
        <v>-0.004883</v>
      </c>
      <c r="D628" s="12" t="n">
        <v>978.36</v>
      </c>
      <c r="E628" s="15" t="n">
        <v>0.00465</v>
      </c>
      <c r="F628" s="18" t="n">
        <v>-0.004883</v>
      </c>
      <c r="G628" t="inlineStr">
        <is>
          <t>Normal</t>
        </is>
      </c>
    </row>
    <row r="629">
      <c r="A629" s="6" t="n">
        <v>46086</v>
      </c>
      <c r="B629" t="inlineStr">
        <is>
          <t>Local Currency</t>
        </is>
      </c>
      <c r="C629" s="9" t="n">
        <v>-0.004923</v>
      </c>
      <c r="D629" s="12" t="n">
        <v>1051.86</v>
      </c>
      <c r="E629" s="15" t="n">
        <v>0.004464</v>
      </c>
      <c r="F629" s="18" t="n">
        <v>-0.004923</v>
      </c>
      <c r="G629" t="inlineStr">
        <is>
          <t>Normal</t>
        </is>
      </c>
    </row>
    <row r="630">
      <c r="A630" s="6" t="n">
        <v>46087</v>
      </c>
      <c r="B630" t="inlineStr">
        <is>
          <t>Hard Currency</t>
        </is>
      </c>
      <c r="C630" s="9" t="n">
        <v>-0.013478</v>
      </c>
      <c r="D630" s="12" t="n">
        <v>965.17</v>
      </c>
      <c r="E630" s="15" t="n">
        <v>0.004741</v>
      </c>
      <c r="F630" s="18" t="n">
        <v>-0.013478</v>
      </c>
      <c r="G630" t="inlineStr">
        <is>
          <t>Rate Shock</t>
        </is>
      </c>
    </row>
    <row r="631">
      <c r="A631" s="6" t="n">
        <v>46087</v>
      </c>
      <c r="B631" t="inlineStr">
        <is>
          <t>Local Currency</t>
        </is>
      </c>
      <c r="C631" s="9" t="n">
        <v>-0.011619</v>
      </c>
      <c r="D631" s="12" t="n">
        <v>1039.64</v>
      </c>
      <c r="E631" s="15" t="n">
        <v>0.004549</v>
      </c>
      <c r="F631" s="18" t="n">
        <v>-0.011619</v>
      </c>
      <c r="G631" t="inlineStr">
        <is>
          <t>Rate Shock</t>
        </is>
      </c>
    </row>
    <row r="632">
      <c r="A632" s="6" t="n">
        <v>46090</v>
      </c>
      <c r="B632" t="inlineStr">
        <is>
          <t>Hard Currency</t>
        </is>
      </c>
      <c r="C632" s="9" t="n">
        <v>-0.012351</v>
      </c>
      <c r="D632" s="12" t="n">
        <v>953.25</v>
      </c>
      <c r="E632" s="15" t="n">
        <v>0.004834</v>
      </c>
      <c r="F632" s="18" t="n">
        <v>-0.012351</v>
      </c>
      <c r="G632" t="inlineStr">
        <is>
          <t>Rate Shock</t>
        </is>
      </c>
    </row>
    <row r="633">
      <c r="A633" s="6" t="n">
        <v>46090</v>
      </c>
      <c r="B633" t="inlineStr">
        <is>
          <t>Local Currency</t>
        </is>
      </c>
      <c r="C633" s="9" t="n">
        <v>-0.006002</v>
      </c>
      <c r="D633" s="12" t="n">
        <v>1033.4</v>
      </c>
      <c r="E633" s="15" t="n">
        <v>0.004618</v>
      </c>
      <c r="F633" s="18" t="n">
        <v>-0.006002</v>
      </c>
      <c r="G633" t="inlineStr">
        <is>
          <t>Rate Shock</t>
        </is>
      </c>
    </row>
    <row r="634">
      <c r="A634" s="6" t="n">
        <v>46091</v>
      </c>
      <c r="B634" t="inlineStr">
        <is>
          <t>Hard Currency</t>
        </is>
      </c>
      <c r="C634" s="9" t="n">
        <v>0.019287</v>
      </c>
      <c r="D634" s="12" t="n">
        <v>971.64</v>
      </c>
      <c r="E634" s="15" t="n">
        <v>0.004834</v>
      </c>
      <c r="F634" s="18" t="n">
        <v>0.019287</v>
      </c>
      <c r="G634" t="inlineStr">
        <is>
          <t>EM Crisis</t>
        </is>
      </c>
    </row>
    <row r="635">
      <c r="A635" s="6" t="n">
        <v>46091</v>
      </c>
      <c r="B635" t="inlineStr">
        <is>
          <t>Local Currency</t>
        </is>
      </c>
      <c r="C635" s="9" t="n">
        <v>0.009861999999999999</v>
      </c>
      <c r="D635" s="12" t="n">
        <v>1043.59</v>
      </c>
      <c r="E635" s="15" t="n">
        <v>0.004618</v>
      </c>
      <c r="F635" s="18" t="n">
        <v>0.009861999999999999</v>
      </c>
      <c r="G635" t="inlineStr">
        <is>
          <t>EM Crisis</t>
        </is>
      </c>
    </row>
    <row r="636">
      <c r="A636" s="6" t="n">
        <v>46092</v>
      </c>
      <c r="B636" t="inlineStr">
        <is>
          <t>Hard Currency</t>
        </is>
      </c>
      <c r="C636" s="9" t="n">
        <v>-0.007603</v>
      </c>
      <c r="D636" s="12" t="n">
        <v>964.25</v>
      </c>
      <c r="E636" s="15" t="n">
        <v>0.004935</v>
      </c>
      <c r="F636" s="18" t="n">
        <v>-0.007603</v>
      </c>
      <c r="G636" t="inlineStr">
        <is>
          <t>Rate Shock</t>
        </is>
      </c>
    </row>
    <row r="637">
      <c r="A637" s="6" t="n">
        <v>46092</v>
      </c>
      <c r="B637" t="inlineStr">
        <is>
          <t>Local Currency</t>
        </is>
      </c>
      <c r="C637" s="9" t="n">
        <v>-0.003322</v>
      </c>
      <c r="D637" s="12" t="n">
        <v>1040.13</v>
      </c>
      <c r="E637" s="15" t="n">
        <v>0.004618</v>
      </c>
      <c r="F637" s="18" t="n">
        <v>-0.003322</v>
      </c>
      <c r="G637" t="inlineStr">
        <is>
          <t>Rate Shock</t>
        </is>
      </c>
    </row>
    <row r="638">
      <c r="A638" s="6" t="n">
        <v>46093</v>
      </c>
      <c r="B638" t="inlineStr">
        <is>
          <t>Local Currency</t>
        </is>
      </c>
      <c r="C638" s="9" t="n">
        <v>-0.011133</v>
      </c>
      <c r="D638" s="12" t="n">
        <v>1028.55</v>
      </c>
      <c r="E638" s="15" t="n">
        <v>0.004844</v>
      </c>
      <c r="F638" s="18" t="n">
        <v>-0.011133</v>
      </c>
      <c r="G638" t="inlineStr">
        <is>
          <t>Rate Shock</t>
        </is>
      </c>
    </row>
    <row r="639">
      <c r="A639" s="6" t="n">
        <v>46094</v>
      </c>
      <c r="B639" t="inlineStr">
        <is>
          <t>Local Currency</t>
        </is>
      </c>
      <c r="C639" s="9" t="n">
        <v>-0.014466</v>
      </c>
      <c r="D639" s="12" t="n">
        <v>1013.67</v>
      </c>
      <c r="E639" s="15" t="n">
        <v>0.005098</v>
      </c>
      <c r="F639" s="18" t="n">
        <v>-0.014466</v>
      </c>
      <c r="G639" t="inlineStr">
        <is>
          <t>Rate Shock</t>
        </is>
      </c>
    </row>
    <row r="640">
      <c r="A640" s="6" t="n">
        <v>46097</v>
      </c>
      <c r="B640" t="inlineStr">
        <is>
          <t>Hard Currency</t>
        </is>
      </c>
      <c r="C640" s="9" t="n">
        <v>0.006156</v>
      </c>
      <c r="D640" s="12" t="n">
        <v>970.1799999999999</v>
      </c>
      <c r="E640" s="15" t="n">
        <v>0.004935</v>
      </c>
      <c r="F640" s="18" t="n">
        <v>0.006156</v>
      </c>
      <c r="G640" t="inlineStr">
        <is>
          <t>Rate Shock</t>
        </is>
      </c>
    </row>
    <row r="641">
      <c r="A641" s="6" t="n">
        <v>46097</v>
      </c>
      <c r="B641" t="inlineStr">
        <is>
          <t>Local Currency</t>
        </is>
      </c>
      <c r="C641" s="9" t="n">
        <v>0.0027</v>
      </c>
      <c r="D641" s="12" t="n">
        <v>1016.41</v>
      </c>
      <c r="E641" s="15" t="n">
        <v>0.005098</v>
      </c>
      <c r="F641" s="18" t="n">
        <v>0.0027</v>
      </c>
      <c r="G641" t="inlineStr">
        <is>
          <t>Rate Shock</t>
        </is>
      </c>
    </row>
    <row r="642">
      <c r="A642" s="6" t="n">
        <v>46098</v>
      </c>
      <c r="B642" t="inlineStr">
        <is>
          <t>Hard Currency</t>
        </is>
      </c>
      <c r="C642" s="9" t="n">
        <v>0.00583</v>
      </c>
      <c r="D642" s="12" t="n">
        <v>975.84</v>
      </c>
      <c r="E642" s="15" t="n">
        <v>0.004935</v>
      </c>
      <c r="F642" s="18" t="n">
        <v>0.00583</v>
      </c>
      <c r="G642" t="inlineStr">
        <is>
          <t>Rate Shock</t>
        </is>
      </c>
    </row>
    <row r="643">
      <c r="A643" s="6" t="n">
        <v>46098</v>
      </c>
      <c r="B643" t="inlineStr">
        <is>
          <t>Local Currency</t>
        </is>
      </c>
      <c r="C643" s="9" t="n">
        <v>0.006415</v>
      </c>
      <c r="D643" s="12" t="n">
        <v>1022.93</v>
      </c>
      <c r="E643" s="15" t="n">
        <v>0.005098</v>
      </c>
      <c r="F643" s="18" t="n">
        <v>0.006415</v>
      </c>
      <c r="G643" t="inlineStr">
        <is>
          <t>Rate Shock</t>
        </is>
      </c>
    </row>
    <row r="644">
      <c r="A644" s="6" t="n">
        <v>46099</v>
      </c>
      <c r="B644" t="inlineStr">
        <is>
          <t>Hard Currency</t>
        </is>
      </c>
      <c r="C644" s="9" t="n">
        <v>-3e-05</v>
      </c>
      <c r="D644" s="12" t="n">
        <v>975.8099999999999</v>
      </c>
      <c r="E644" s="15" t="n">
        <v>0.004935</v>
      </c>
      <c r="F644" s="18" t="n">
        <v>-3e-05</v>
      </c>
      <c r="G644" t="inlineStr">
        <is>
          <t>Rate Shock</t>
        </is>
      </c>
    </row>
    <row r="645">
      <c r="A645" s="6" t="n">
        <v>46099</v>
      </c>
      <c r="B645" t="inlineStr">
        <is>
          <t>Local Currency</t>
        </is>
      </c>
      <c r="C645" s="9" t="n">
        <v>-0.003312</v>
      </c>
      <c r="D645" s="12" t="n">
        <v>1019.54</v>
      </c>
      <c r="E645" s="15" t="n">
        <v>0.005098</v>
      </c>
      <c r="F645" s="18" t="n">
        <v>-0.003312</v>
      </c>
      <c r="G645" t="inlineStr">
        <is>
          <t>Rate Shock</t>
        </is>
      </c>
    </row>
    <row r="646">
      <c r="A646" s="6" t="n">
        <v>46100</v>
      </c>
      <c r="B646" t="inlineStr">
        <is>
          <t>Hard Currency</t>
        </is>
      </c>
      <c r="C646" s="9" t="n">
        <v>-0.008943</v>
      </c>
      <c r="D646" s="12" t="n">
        <v>967.08</v>
      </c>
      <c r="E646" s="15" t="n">
        <v>0.005166</v>
      </c>
      <c r="F646" s="18" t="n">
        <v>-0.008943</v>
      </c>
      <c r="G646" t="inlineStr">
        <is>
          <t>Rate Shock</t>
        </is>
      </c>
    </row>
    <row r="647">
      <c r="A647" s="6" t="n">
        <v>46100</v>
      </c>
      <c r="B647" t="inlineStr">
        <is>
          <t>Local Currency</t>
        </is>
      </c>
      <c r="C647" s="9" t="n">
        <v>-0.006221</v>
      </c>
      <c r="D647" s="12" t="n">
        <v>1013.2</v>
      </c>
      <c r="E647" s="15" t="n">
        <v>0.005334</v>
      </c>
      <c r="F647" s="18" t="n">
        <v>-0.006221</v>
      </c>
      <c r="G647" t="inlineStr">
        <is>
          <t>Rate Shock</t>
        </is>
      </c>
    </row>
    <row r="648">
      <c r="A648" s="6" t="n">
        <v>46101</v>
      </c>
      <c r="B648" t="inlineStr">
        <is>
          <t>Hard Currency</t>
        </is>
      </c>
      <c r="C648" s="9" t="n">
        <v>-0.003555</v>
      </c>
      <c r="D648" s="12" t="n">
        <v>963.65</v>
      </c>
      <c r="E648" s="15" t="n">
        <v>0.005166</v>
      </c>
      <c r="F648" s="18" t="n">
        <v>-0.003555</v>
      </c>
      <c r="G648" t="inlineStr">
        <is>
          <t>Rate Shock</t>
        </is>
      </c>
    </row>
    <row r="649">
      <c r="A649" s="6" t="n">
        <v>46101</v>
      </c>
      <c r="B649" t="inlineStr">
        <is>
          <t>Local Currency</t>
        </is>
      </c>
      <c r="C649" s="9" t="n">
        <v>-0.004367</v>
      </c>
      <c r="D649" s="12" t="n">
        <v>1008.77</v>
      </c>
      <c r="E649" s="15" t="n">
        <v>0.005334</v>
      </c>
      <c r="F649" s="18" t="n">
        <v>-0.004367</v>
      </c>
      <c r="G649" t="inlineStr">
        <is>
          <t>Rate Shock</t>
        </is>
      </c>
    </row>
    <row r="650">
      <c r="A650" s="6" t="n">
        <v>46104</v>
      </c>
      <c r="B650" t="inlineStr">
        <is>
          <t>Local Currency</t>
        </is>
      </c>
      <c r="C650" s="9" t="n">
        <v>0.00244</v>
      </c>
      <c r="D650" s="12" t="n">
        <v>1011.23</v>
      </c>
      <c r="E650" s="15" t="n">
        <v>0.005334</v>
      </c>
      <c r="F650" s="18" t="n">
        <v>0.00244</v>
      </c>
      <c r="G650" t="inlineStr">
        <is>
          <t>Rate Shock</t>
        </is>
      </c>
    </row>
    <row r="651">
      <c r="A651" s="6" t="n">
        <v>46105</v>
      </c>
      <c r="B651" t="inlineStr">
        <is>
          <t>Hard Currency</t>
        </is>
      </c>
      <c r="C651" s="9" t="n">
        <v>0.002781</v>
      </c>
      <c r="D651" s="12" t="n">
        <v>966.33</v>
      </c>
      <c r="E651" s="15" t="n">
        <v>0.005166</v>
      </c>
      <c r="F651" s="18" t="n">
        <v>0.002781</v>
      </c>
      <c r="G651" t="inlineStr">
        <is>
          <t>Rate Shock</t>
        </is>
      </c>
    </row>
    <row r="652">
      <c r="A652" s="6" t="n">
        <v>46105</v>
      </c>
      <c r="B652" t="inlineStr">
        <is>
          <t>Local Currency</t>
        </is>
      </c>
      <c r="C652" s="9" t="n">
        <v>-0.003124</v>
      </c>
      <c r="D652" s="12" t="n">
        <v>1008.07</v>
      </c>
      <c r="E652" s="15" t="n">
        <v>0.005334</v>
      </c>
      <c r="F652" s="18" t="n">
        <v>-0.003124</v>
      </c>
      <c r="G652" t="inlineStr">
        <is>
          <t>Rate Shock</t>
        </is>
      </c>
    </row>
    <row r="653">
      <c r="A653" s="6" t="n">
        <v>46106</v>
      </c>
      <c r="B653" t="inlineStr">
        <is>
          <t>Hard Currency</t>
        </is>
      </c>
      <c r="C653" s="9" t="n">
        <v>0.004552</v>
      </c>
      <c r="D653" s="12" t="n">
        <v>970.73</v>
      </c>
      <c r="E653" s="15" t="n">
        <v>0.005166</v>
      </c>
      <c r="F653" s="18" t="n">
        <v>0.004552</v>
      </c>
      <c r="G653" t="inlineStr">
        <is>
          <t>Rate Shock</t>
        </is>
      </c>
    </row>
    <row r="654">
      <c r="A654" s="6" t="n">
        <v>46106</v>
      </c>
      <c r="B654" t="inlineStr">
        <is>
          <t>Local Currency</t>
        </is>
      </c>
      <c r="C654" s="9" t="n">
        <v>0.005329</v>
      </c>
      <c r="D654" s="12" t="n">
        <v>1013.45</v>
      </c>
      <c r="E654" s="15" t="n">
        <v>0.005334</v>
      </c>
      <c r="F654" s="18" t="n">
        <v>0.005329</v>
      </c>
      <c r="G654" t="inlineStr">
        <is>
          <t>Rate Shock</t>
        </is>
      </c>
    </row>
    <row r="655">
      <c r="A655" s="6" t="n">
        <v>46107</v>
      </c>
      <c r="B655" t="inlineStr">
        <is>
          <t>Hard Currency</t>
        </is>
      </c>
      <c r="C655" s="9" t="n">
        <v>0.001704</v>
      </c>
      <c r="D655" s="12" t="n">
        <v>972.38</v>
      </c>
      <c r="E655" s="15" t="n">
        <v>0.005166</v>
      </c>
      <c r="F655" s="18" t="n">
        <v>0.001704</v>
      </c>
      <c r="G655" t="inlineStr">
        <is>
          <t>Rate Shock</t>
        </is>
      </c>
    </row>
    <row r="656">
      <c r="A656" s="6" t="n">
        <v>46107</v>
      </c>
      <c r="B656" t="inlineStr">
        <is>
          <t>Local Currency</t>
        </is>
      </c>
      <c r="C656" s="9" t="n">
        <v>-0.000491</v>
      </c>
      <c r="D656" s="12" t="n">
        <v>1012.95</v>
      </c>
      <c r="E656" s="15" t="n">
        <v>0.005334</v>
      </c>
      <c r="F656" s="18" t="n">
        <v>-0.000491</v>
      </c>
      <c r="G656" t="inlineStr">
        <is>
          <t>Rate Shock</t>
        </is>
      </c>
    </row>
    <row r="657">
      <c r="A657" s="6" t="n">
        <v>46108</v>
      </c>
      <c r="B657" t="inlineStr">
        <is>
          <t>Hard Currency</t>
        </is>
      </c>
      <c r="C657" s="9" t="n">
        <v>-0.00423</v>
      </c>
      <c r="D657" s="12" t="n">
        <v>968.27</v>
      </c>
      <c r="E657" s="15" t="n">
        <v>0.005166</v>
      </c>
      <c r="F657" s="18" t="n">
        <v>-0.00423</v>
      </c>
      <c r="G657" t="inlineStr">
        <is>
          <t>Rate Shock</t>
        </is>
      </c>
    </row>
    <row r="658">
      <c r="A658" s="6" t="n">
        <v>46108</v>
      </c>
      <c r="B658" t="inlineStr">
        <is>
          <t>Local Currency</t>
        </is>
      </c>
      <c r="C658" s="9" t="n">
        <v>-0.005866</v>
      </c>
      <c r="D658" s="12" t="n">
        <v>1007.01</v>
      </c>
      <c r="E658" s="15" t="n">
        <v>0.005431</v>
      </c>
      <c r="F658" s="18" t="n">
        <v>-0.005866</v>
      </c>
      <c r="G658" t="inlineStr">
        <is>
          <t>Rate Shock</t>
        </is>
      </c>
    </row>
    <row r="659">
      <c r="A659" s="6" t="n">
        <v>46111</v>
      </c>
      <c r="B659" t="inlineStr">
        <is>
          <t>Hard Currency</t>
        </is>
      </c>
      <c r="C659" s="9" t="n">
        <v>0.001844</v>
      </c>
      <c r="D659" s="12" t="n">
        <v>970.05</v>
      </c>
      <c r="E659" s="15" t="n">
        <v>0.005166</v>
      </c>
      <c r="F659" s="18" t="n">
        <v>0.001844</v>
      </c>
      <c r="G659" t="inlineStr">
        <is>
          <t>Rate Shock</t>
        </is>
      </c>
    </row>
    <row r="660">
      <c r="A660" s="6" t="n">
        <v>46111</v>
      </c>
      <c r="B660" t="inlineStr">
        <is>
          <t>Local Currency</t>
        </is>
      </c>
      <c r="C660" s="9" t="n">
        <v>0.000528</v>
      </c>
      <c r="D660" s="12" t="n">
        <v>1007.54</v>
      </c>
      <c r="E660" s="15" t="n">
        <v>0.005431</v>
      </c>
      <c r="F660" s="18" t="n">
        <v>0.000528</v>
      </c>
      <c r="G660" t="inlineStr">
        <is>
          <t>Rate Shock</t>
        </is>
      </c>
    </row>
    <row r="661">
      <c r="A661" s="6" t="n">
        <v>46112</v>
      </c>
      <c r="B661" t="inlineStr">
        <is>
          <t>Hard Currency</t>
        </is>
      </c>
      <c r="C661" s="9" t="n">
        <v>0.001772</v>
      </c>
      <c r="D661" s="12" t="n">
        <v>971.77</v>
      </c>
      <c r="E661" s="15" t="n">
        <v>0.005166</v>
      </c>
      <c r="F661" s="18" t="n">
        <v>0.001772</v>
      </c>
      <c r="G661" t="inlineStr">
        <is>
          <t>Rate Shock</t>
        </is>
      </c>
    </row>
    <row r="662">
      <c r="A662" s="6" t="n">
        <v>46112</v>
      </c>
      <c r="B662" t="inlineStr">
        <is>
          <t>Local Currency</t>
        </is>
      </c>
      <c r="C662" s="9" t="n">
        <v>0.005392</v>
      </c>
      <c r="D662" s="12" t="n">
        <v>1012.97</v>
      </c>
      <c r="E662" s="15" t="n">
        <v>0.005431</v>
      </c>
      <c r="F662" s="18" t="n">
        <v>0.005392</v>
      </c>
      <c r="G662" t="inlineStr">
        <is>
          <t>Rate Shock</t>
        </is>
      </c>
    </row>
    <row r="663">
      <c r="A663" s="6" t="n">
        <v>46113</v>
      </c>
      <c r="B663" t="inlineStr">
        <is>
          <t>Hard Currency</t>
        </is>
      </c>
      <c r="C663" s="9" t="n">
        <v>0.006799</v>
      </c>
      <c r="D663" s="12" t="n">
        <v>978.38</v>
      </c>
      <c r="E663" s="15" t="n">
        <v>0.005166</v>
      </c>
      <c r="F663" s="18" t="n">
        <v>0.006799</v>
      </c>
      <c r="G663" t="inlineStr">
        <is>
          <t>Rate Shock</t>
        </is>
      </c>
    </row>
    <row r="664">
      <c r="A664" s="6" t="n">
        <v>46113</v>
      </c>
      <c r="B664" t="inlineStr">
        <is>
          <t>Local Currency</t>
        </is>
      </c>
      <c r="C664" s="9" t="n">
        <v>0.008107</v>
      </c>
      <c r="D664" s="12" t="n">
        <v>1021.18</v>
      </c>
      <c r="E664" s="15" t="n">
        <v>0.005431</v>
      </c>
      <c r="F664" s="18" t="n">
        <v>0.008107</v>
      </c>
      <c r="G664" t="inlineStr">
        <is>
          <t>Rate Shock</t>
        </is>
      </c>
    </row>
    <row r="665">
      <c r="A665" s="6" t="n">
        <v>46114</v>
      </c>
      <c r="B665" t="inlineStr">
        <is>
          <t>Local Currency</t>
        </is>
      </c>
      <c r="C665" s="9" t="n">
        <v>-0.001512</v>
      </c>
      <c r="D665" s="12" t="n">
        <v>1019.64</v>
      </c>
      <c r="E665" s="15" t="n">
        <v>0.005431</v>
      </c>
      <c r="F665" s="18" t="n">
        <v>-0.001512</v>
      </c>
      <c r="G665" t="inlineStr">
        <is>
          <t>Rate Shock</t>
        </is>
      </c>
    </row>
    <row r="666">
      <c r="A666" s="6" t="n">
        <v>46120</v>
      </c>
      <c r="B666" t="inlineStr">
        <is>
          <t>Hard Currency</t>
        </is>
      </c>
      <c r="C666" s="9" t="n">
        <v>0.014907</v>
      </c>
      <c r="D666" s="12" t="n">
        <v>992.96</v>
      </c>
      <c r="E666" s="15" t="n">
        <v>0.005166</v>
      </c>
      <c r="F666" s="18" t="n">
        <v>0.014907</v>
      </c>
      <c r="G666" t="inlineStr">
        <is>
          <t>EM Crisis</t>
        </is>
      </c>
    </row>
    <row r="667">
      <c r="A667" s="6" t="n">
        <v>46120</v>
      </c>
      <c r="B667" t="inlineStr">
        <is>
          <t>Local Currency</t>
        </is>
      </c>
      <c r="C667" s="9" t="n">
        <v>0.015035</v>
      </c>
      <c r="D667" s="12" t="n">
        <v>1034.97</v>
      </c>
      <c r="E667" s="15" t="n">
        <v>0.005431</v>
      </c>
      <c r="F667" s="18" t="n">
        <v>0.015035</v>
      </c>
      <c r="G667" t="inlineStr">
        <is>
          <t>EM Crisis</t>
        </is>
      </c>
    </row>
    <row r="668">
      <c r="A668" s="6" t="n">
        <v>46121</v>
      </c>
      <c r="B668" t="inlineStr">
        <is>
          <t>Hard Currency</t>
        </is>
      </c>
      <c r="C668" s="9" t="n">
        <v>0.002826</v>
      </c>
      <c r="D668" s="12" t="n">
        <v>995.77</v>
      </c>
      <c r="E668" s="15" t="n">
        <v>0.005166</v>
      </c>
      <c r="F668" s="18" t="n">
        <v>0.002826</v>
      </c>
      <c r="G668" t="inlineStr">
        <is>
          <t>Rate Shock</t>
        </is>
      </c>
    </row>
    <row r="669">
      <c r="A669" s="6" t="n">
        <v>46121</v>
      </c>
      <c r="B669" t="inlineStr">
        <is>
          <t>Local Currency</t>
        </is>
      </c>
      <c r="C669" s="9" t="n">
        <v>0.003173</v>
      </c>
      <c r="D669" s="12" t="n">
        <v>1038.25</v>
      </c>
      <c r="E669" s="15" t="n">
        <v>0.005431</v>
      </c>
      <c r="F669" s="18" t="n">
        <v>0.003173</v>
      </c>
      <c r="G669" t="inlineStr">
        <is>
          <t>Rate Shock</t>
        </is>
      </c>
    </row>
    <row r="670">
      <c r="A670" s="6" t="n">
        <v>46127</v>
      </c>
      <c r="B670" t="inlineStr">
        <is>
          <t>Hard Currency</t>
        </is>
      </c>
      <c r="C670" s="9" t="n">
        <v>-0.000672</v>
      </c>
      <c r="D670" s="12" t="n">
        <v>995.1</v>
      </c>
      <c r="E670" s="15" t="n">
        <v>0.005166</v>
      </c>
      <c r="F670" s="18" t="n">
        <v>-0.000672</v>
      </c>
      <c r="G670" t="inlineStr">
        <is>
          <t>Rate Shock</t>
        </is>
      </c>
    </row>
    <row r="671">
      <c r="A671" s="6" t="n">
        <v>46127</v>
      </c>
      <c r="B671" t="inlineStr">
        <is>
          <t>Local Currency</t>
        </is>
      </c>
      <c r="C671" s="9" t="n">
        <v>-0.000222</v>
      </c>
      <c r="D671" s="12" t="n">
        <v>1038.02</v>
      </c>
      <c r="E671" s="15" t="n">
        <v>0.005431</v>
      </c>
      <c r="F671" s="18" t="n">
        <v>-0.000222</v>
      </c>
      <c r="G671" t="inlineStr">
        <is>
          <t>Rate Shock</t>
        </is>
      </c>
    </row>
    <row r="672">
      <c r="A672" s="6" t="n">
        <v>46128</v>
      </c>
      <c r="B672" t="inlineStr">
        <is>
          <t>Hard Currency</t>
        </is>
      </c>
      <c r="C672" s="9" t="n">
        <v>-0.001982</v>
      </c>
      <c r="D672" s="12" t="n">
        <v>993.13</v>
      </c>
      <c r="E672" s="15" t="n">
        <v>0.005166</v>
      </c>
      <c r="F672" s="18" t="n">
        <v>-0.001982</v>
      </c>
      <c r="G672" t="inlineStr">
        <is>
          <t>Rate Shock</t>
        </is>
      </c>
    </row>
    <row r="673">
      <c r="A673" s="6" t="n">
        <v>46128</v>
      </c>
      <c r="B673" t="inlineStr">
        <is>
          <t>Local Currency</t>
        </is>
      </c>
      <c r="C673" s="9" t="n">
        <v>-0.003301</v>
      </c>
      <c r="D673" s="12" t="n">
        <v>1034.6</v>
      </c>
      <c r="E673" s="15" t="n">
        <v>0.005431</v>
      </c>
      <c r="F673" s="18" t="n">
        <v>-0.003301</v>
      </c>
      <c r="G673" t="inlineStr">
        <is>
          <t>Rate Shock</t>
        </is>
      </c>
    </row>
    <row r="674">
      <c r="A674" s="6" t="n">
        <v>46129</v>
      </c>
      <c r="B674" t="inlineStr">
        <is>
          <t>Hard Currency</t>
        </is>
      </c>
      <c r="C674" s="9" t="n">
        <v>0.008651000000000001</v>
      </c>
      <c r="D674" s="12" t="n">
        <v>1001.72</v>
      </c>
      <c r="E674" s="15" t="n">
        <v>0.005166</v>
      </c>
      <c r="F674" s="18" t="n">
        <v>0.008651000000000001</v>
      </c>
      <c r="G674" t="inlineStr">
        <is>
          <t>Rate Shock</t>
        </is>
      </c>
    </row>
    <row r="675">
      <c r="A675" s="6" t="n">
        <v>46129</v>
      </c>
      <c r="B675" t="inlineStr">
        <is>
          <t>Local Currency</t>
        </is>
      </c>
      <c r="C675" s="9" t="n">
        <v>0.008846</v>
      </c>
      <c r="D675" s="12" t="n">
        <v>1043.75</v>
      </c>
      <c r="E675" s="15" t="n">
        <v>0.005431</v>
      </c>
      <c r="F675" s="18" t="n">
        <v>0.008846</v>
      </c>
      <c r="G675" t="inlineStr">
        <is>
          <t>Rate Shock</t>
        </is>
      </c>
    </row>
    <row r="676">
      <c r="A676" s="6" t="n">
        <v>46132</v>
      </c>
      <c r="B676" t="inlineStr">
        <is>
          <t>Local Currency</t>
        </is>
      </c>
      <c r="C676" s="9" t="n">
        <v>-0.002572</v>
      </c>
      <c r="D676" s="12" t="n">
        <v>1041.06</v>
      </c>
      <c r="E676" s="15" t="n">
        <v>0.005431</v>
      </c>
      <c r="F676" s="18" t="n">
        <v>-0.002572</v>
      </c>
      <c r="G676" t="inlineStr">
        <is>
          <t>Rate Shock</t>
        </is>
      </c>
    </row>
    <row r="677">
      <c r="A677" s="6" t="n">
        <v>46134</v>
      </c>
      <c r="B677" t="inlineStr">
        <is>
          <t>Hard Currency</t>
        </is>
      </c>
      <c r="C677" s="9" t="n">
        <v>-0.001348</v>
      </c>
      <c r="D677" s="12" t="n">
        <v>1000.37</v>
      </c>
      <c r="E677" s="15" t="n">
        <v>0.005166</v>
      </c>
      <c r="F677" s="18" t="n">
        <v>-0.001348</v>
      </c>
      <c r="G677" t="inlineStr">
        <is>
          <t>Rate Shock</t>
        </is>
      </c>
    </row>
    <row r="678">
      <c r="A678" s="6" t="n">
        <v>46134</v>
      </c>
      <c r="B678" t="inlineStr">
        <is>
          <t>Local Currency</t>
        </is>
      </c>
      <c r="C678" s="9" t="n">
        <v>-0.003108</v>
      </c>
      <c r="D678" s="12" t="n">
        <v>1037.83</v>
      </c>
      <c r="E678" s="15" t="n">
        <v>0.005431</v>
      </c>
      <c r="F678" s="18" t="n">
        <v>-0.003108</v>
      </c>
      <c r="G678" t="inlineStr">
        <is>
          <t>Rate Shock</t>
        </is>
      </c>
    </row>
    <row r="679">
      <c r="A679" s="6" t="n">
        <v>46135</v>
      </c>
      <c r="B679" t="inlineStr">
        <is>
          <t>Hard Currency</t>
        </is>
      </c>
      <c r="C679" s="9" t="n">
        <v>-0.002535</v>
      </c>
      <c r="D679" s="12" t="n">
        <v>997.83</v>
      </c>
      <c r="E679" s="15" t="n">
        <v>0.005166</v>
      </c>
      <c r="F679" s="18" t="n">
        <v>-0.002535</v>
      </c>
      <c r="G679" t="inlineStr">
        <is>
          <t>Rate Shock</t>
        </is>
      </c>
    </row>
    <row r="680">
      <c r="A680" s="6" t="n">
        <v>46135</v>
      </c>
      <c r="B680" t="inlineStr">
        <is>
          <t>Local Currency</t>
        </is>
      </c>
      <c r="C680" s="9" t="n">
        <v>-0.004394</v>
      </c>
      <c r="D680" s="12" t="n">
        <v>1033.27</v>
      </c>
      <c r="E680" s="15" t="n">
        <v>0.005431</v>
      </c>
      <c r="F680" s="18" t="n">
        <v>-0.004394</v>
      </c>
      <c r="G680" t="inlineStr">
        <is>
          <t>Rate Shock</t>
        </is>
      </c>
    </row>
    <row r="681">
      <c r="A681" s="6" t="n">
        <v>46136</v>
      </c>
      <c r="B681" t="inlineStr">
        <is>
          <t>Hard Currency</t>
        </is>
      </c>
      <c r="C681" s="9" t="n">
        <v>-0.004302</v>
      </c>
      <c r="D681" s="12" t="n">
        <v>993.54</v>
      </c>
      <c r="E681" s="15" t="n">
        <v>0.005166</v>
      </c>
      <c r="F681" s="18" t="n">
        <v>-0.004302</v>
      </c>
      <c r="G681" t="inlineStr">
        <is>
          <t>Rate Shock</t>
        </is>
      </c>
    </row>
    <row r="682">
      <c r="A682" s="6" t="n">
        <v>46136</v>
      </c>
      <c r="B682" t="inlineStr">
        <is>
          <t>Local Currency</t>
        </is>
      </c>
      <c r="C682" s="9" t="n">
        <v>-0.002771</v>
      </c>
      <c r="D682" s="12" t="n">
        <v>1030.4</v>
      </c>
      <c r="E682" s="15" t="n">
        <v>0.005431</v>
      </c>
      <c r="F682" s="18" t="n">
        <v>-0.002771</v>
      </c>
      <c r="G682" t="inlineStr">
        <is>
          <t>Rate Shock</t>
        </is>
      </c>
    </row>
    <row r="683">
      <c r="A683" s="6" t="n">
        <v>46140</v>
      </c>
      <c r="B683" t="inlineStr">
        <is>
          <t>Hard Currency</t>
        </is>
      </c>
      <c r="C683" s="9" t="n">
        <v>0.00272</v>
      </c>
      <c r="D683" s="12" t="n">
        <v>996.24</v>
      </c>
      <c r="E683" s="15" t="n">
        <v>0.005166</v>
      </c>
      <c r="F683" s="18" t="n">
        <v>0.00272</v>
      </c>
      <c r="G683" t="inlineStr">
        <is>
          <t>Rate Shock</t>
        </is>
      </c>
    </row>
    <row r="684">
      <c r="A684" s="6" t="n">
        <v>46140</v>
      </c>
      <c r="B684" t="inlineStr">
        <is>
          <t>Local Currency</t>
        </is>
      </c>
      <c r="C684" s="9" t="n">
        <v>-0.002921</v>
      </c>
      <c r="D684" s="12" t="n">
        <v>1027.39</v>
      </c>
      <c r="E684" s="15" t="n">
        <v>0.005431</v>
      </c>
      <c r="F684" s="18" t="n">
        <v>-0.002921</v>
      </c>
      <c r="G684" t="inlineStr">
        <is>
          <t>Rate Shock</t>
        </is>
      </c>
    </row>
    <row r="685">
      <c r="A685" s="6" t="n">
        <v>46141</v>
      </c>
      <c r="B685" t="inlineStr">
        <is>
          <t>Hard Currency</t>
        </is>
      </c>
      <c r="C685" s="9" t="n">
        <v>-0.006535</v>
      </c>
      <c r="D685" s="12" t="n">
        <v>989.73</v>
      </c>
      <c r="E685" s="15" t="n">
        <v>0.00547</v>
      </c>
      <c r="F685" s="18" t="n">
        <v>-0.006535</v>
      </c>
      <c r="G685" t="inlineStr">
        <is>
          <t>Rate Shock</t>
        </is>
      </c>
    </row>
    <row r="686">
      <c r="A686" s="6" t="n">
        <v>46141</v>
      </c>
      <c r="B686" t="inlineStr">
        <is>
          <t>Local Currency</t>
        </is>
      </c>
      <c r="C686" s="9" t="n">
        <v>-0.008397999999999999</v>
      </c>
      <c r="D686" s="12" t="n">
        <v>1018.77</v>
      </c>
      <c r="E686" s="15" t="n">
        <v>0.005629</v>
      </c>
      <c r="F686" s="18" t="n">
        <v>-0.008397999999999999</v>
      </c>
      <c r="G686" t="inlineStr">
        <is>
          <t>Rate Shock</t>
        </is>
      </c>
    </row>
    <row r="687">
      <c r="A687" s="6" t="n">
        <v>46142</v>
      </c>
      <c r="B687" t="inlineStr">
        <is>
          <t>Hard Currency</t>
        </is>
      </c>
      <c r="C687" s="9" t="n">
        <v>-0.000757</v>
      </c>
      <c r="D687" s="12" t="n">
        <v>988.98</v>
      </c>
      <c r="E687" s="15" t="n">
        <v>0.00547</v>
      </c>
      <c r="F687" s="18" t="n">
        <v>-0.000757</v>
      </c>
      <c r="G687" t="inlineStr">
        <is>
          <t>Rate Shock</t>
        </is>
      </c>
    </row>
    <row r="688">
      <c r="A688" s="6" t="n">
        <v>46142</v>
      </c>
      <c r="B688" t="inlineStr">
        <is>
          <t>Local Currency</t>
        </is>
      </c>
      <c r="C688" s="9" t="n">
        <v>0.0032</v>
      </c>
      <c r="D688" s="12" t="n">
        <v>1022.03</v>
      </c>
      <c r="E688" s="15" t="n">
        <v>0.005629</v>
      </c>
      <c r="F688" s="18" t="n">
        <v>0.0032</v>
      </c>
      <c r="G688" t="inlineStr">
        <is>
          <t>Rate Shock</t>
        </is>
      </c>
    </row>
    <row r="689">
      <c r="A689" s="6" t="n"/>
      <c r="C689" s="9" t="n"/>
      <c r="D689" s="12" t="n"/>
      <c r="E689" s="15" t="n"/>
      <c r="F689" s="18" t="n"/>
    </row>
    <row r="690">
      <c r="A690" s="6" t="n"/>
      <c r="C690" s="9" t="n"/>
      <c r="D690" s="12" t="n"/>
      <c r="E690" s="15" t="n"/>
      <c r="F690" s="18" t="n"/>
    </row>
    <row r="691">
      <c r="A691" s="6" t="n"/>
      <c r="C691" s="9" t="n"/>
      <c r="D691" s="12" t="n"/>
      <c r="E691" s="15" t="n"/>
      <c r="F691" s="18" t="n"/>
    </row>
    <row r="692">
      <c r="A692" s="6" t="n"/>
      <c r="C692" s="9" t="n"/>
      <c r="D692" s="12" t="n"/>
      <c r="E692" s="15" t="n"/>
      <c r="F692" s="18" t="n"/>
    </row>
    <row r="693">
      <c r="A693" s="6" t="n"/>
      <c r="C693" s="9" t="n"/>
      <c r="D693" s="12" t="n"/>
      <c r="E693" s="15" t="n"/>
      <c r="F693" s="18" t="n"/>
    </row>
    <row r="694">
      <c r="A694" s="6" t="n"/>
      <c r="C694" s="9" t="n"/>
      <c r="D694" s="12" t="n"/>
      <c r="E694" s="15" t="n"/>
      <c r="F694" s="18" t="n"/>
    </row>
    <row r="695">
      <c r="A695" s="6" t="n"/>
      <c r="C695" s="9" t="n"/>
      <c r="D695" s="12" t="n"/>
      <c r="E695" s="15" t="n"/>
      <c r="F695" s="18" t="n"/>
    </row>
    <row r="696">
      <c r="A696" s="6" t="n"/>
      <c r="C696" s="9" t="n"/>
      <c r="D696" s="12" t="n"/>
      <c r="E696" s="15" t="n"/>
      <c r="F696" s="18" t="n"/>
    </row>
    <row r="697">
      <c r="A697" s="6" t="n"/>
      <c r="C697" s="9" t="n"/>
      <c r="D697" s="12" t="n"/>
      <c r="E697" s="15" t="n"/>
      <c r="F697" s="18" t="n"/>
    </row>
    <row r="698">
      <c r="A698" s="6" t="n"/>
      <c r="C698" s="9" t="n"/>
      <c r="D698" s="12" t="n"/>
      <c r="E698" s="15" t="n"/>
      <c r="F698" s="18" t="n"/>
    </row>
    <row r="699">
      <c r="A699" s="6" t="n"/>
      <c r="C699" s="9" t="n"/>
      <c r="D699" s="12" t="n"/>
      <c r="E699" s="15" t="n"/>
      <c r="F699" s="18" t="n"/>
    </row>
    <row r="700">
      <c r="A700" s="6" t="n"/>
      <c r="C700" s="9" t="n"/>
      <c r="D700" s="12" t="n"/>
      <c r="E700" s="15" t="n"/>
      <c r="F700" s="18" t="n"/>
    </row>
    <row r="701">
      <c r="A701" s="6" t="n"/>
      <c r="C701" s="9" t="n"/>
      <c r="D701" s="12" t="n"/>
      <c r="E701" s="15" t="n"/>
      <c r="F701" s="18" t="n"/>
    </row>
    <row r="702">
      <c r="A702" s="6" t="n"/>
      <c r="C702" s="9" t="n"/>
      <c r="D702" s="12" t="n"/>
      <c r="E702" s="15" t="n"/>
      <c r="F702" s="18" t="n"/>
    </row>
    <row r="703">
      <c r="A703" s="6" t="n"/>
      <c r="C703" s="9" t="n"/>
      <c r="D703" s="12" t="n"/>
      <c r="E703" s="15" t="n"/>
      <c r="F703" s="18" t="n"/>
    </row>
    <row r="704">
      <c r="A704" s="6" t="n"/>
      <c r="C704" s="9" t="n"/>
      <c r="D704" s="12" t="n"/>
      <c r="E704" s="15" t="n"/>
      <c r="F704" s="18" t="n"/>
    </row>
    <row r="705">
      <c r="A705" s="6" t="n"/>
      <c r="C705" s="9" t="n"/>
      <c r="D705" s="12" t="n"/>
      <c r="E705" s="15" t="n"/>
      <c r="F705" s="18" t="n"/>
    </row>
    <row r="706">
      <c r="A706" s="6" t="n"/>
      <c r="C706" s="9" t="n"/>
      <c r="D706" s="12" t="n"/>
      <c r="E706" s="15" t="n"/>
      <c r="F706" s="18" t="n"/>
    </row>
    <row r="707">
      <c r="A707" s="6" t="n"/>
      <c r="C707" s="9" t="n"/>
      <c r="D707" s="12" t="n"/>
      <c r="E707" s="15" t="n"/>
      <c r="F707" s="18" t="n"/>
    </row>
    <row r="708">
      <c r="A708" s="6" t="n"/>
      <c r="C708" s="9" t="n"/>
      <c r="D708" s="12" t="n"/>
      <c r="E708" s="15" t="n"/>
      <c r="F708" s="18" t="n"/>
    </row>
    <row r="709">
      <c r="A709" s="6" t="n"/>
      <c r="C709" s="9" t="n"/>
      <c r="D709" s="12" t="n"/>
      <c r="E709" s="15" t="n"/>
      <c r="F709" s="18" t="n"/>
    </row>
    <row r="710">
      <c r="A710" s="6" t="n"/>
      <c r="C710" s="9" t="n"/>
      <c r="D710" s="12" t="n"/>
      <c r="E710" s="15" t="n"/>
      <c r="F710" s="18" t="n"/>
    </row>
    <row r="711">
      <c r="A711" s="6" t="n"/>
      <c r="C711" s="9" t="n"/>
      <c r="D711" s="12" t="n"/>
      <c r="E711" s="15" t="n"/>
      <c r="F711" s="18" t="n"/>
    </row>
    <row r="712">
      <c r="A712" s="6" t="n"/>
      <c r="C712" s="9" t="n"/>
      <c r="D712" s="12" t="n"/>
      <c r="E712" s="15" t="n"/>
      <c r="F712" s="18" t="n"/>
    </row>
    <row r="713">
      <c r="A713" s="6" t="n"/>
      <c r="C713" s="9" t="n"/>
      <c r="D713" s="12" t="n"/>
      <c r="E713" s="15" t="n"/>
      <c r="F713" s="18" t="n"/>
    </row>
    <row r="714">
      <c r="A714" s="6" t="n"/>
      <c r="C714" s="9" t="n"/>
      <c r="D714" s="12" t="n"/>
      <c r="E714" s="15" t="n"/>
      <c r="F714" s="18" t="n"/>
    </row>
    <row r="715">
      <c r="A715" s="6" t="n"/>
      <c r="C715" s="9" t="n"/>
      <c r="D715" s="12" t="n"/>
      <c r="E715" s="15" t="n"/>
      <c r="F715" s="18" t="n"/>
    </row>
    <row r="716">
      <c r="A716" s="6" t="n"/>
      <c r="C716" s="9" t="n"/>
      <c r="D716" s="12" t="n"/>
      <c r="E716" s="15" t="n"/>
      <c r="F716" s="18" t="n"/>
    </row>
    <row r="717">
      <c r="A717" s="6" t="n"/>
      <c r="C717" s="9" t="n"/>
      <c r="D717" s="12" t="n"/>
      <c r="E717" s="15" t="n"/>
      <c r="F717" s="18" t="n"/>
    </row>
    <row r="718">
      <c r="A718" s="6" t="n"/>
      <c r="C718" s="9" t="n"/>
      <c r="D718" s="12" t="n"/>
      <c r="E718" s="15" t="n"/>
      <c r="F718" s="18" t="n"/>
    </row>
    <row r="719">
      <c r="A719" s="6" t="n"/>
      <c r="C719" s="9" t="n"/>
      <c r="D719" s="12" t="n"/>
      <c r="E719" s="15" t="n"/>
      <c r="F719" s="18" t="n"/>
    </row>
    <row r="720">
      <c r="A720" s="6" t="n"/>
      <c r="C720" s="9" t="n"/>
      <c r="D720" s="12" t="n"/>
      <c r="E720" s="15" t="n"/>
      <c r="F720" s="18" t="n"/>
    </row>
    <row r="721">
      <c r="A721" s="6" t="n"/>
      <c r="C721" s="9" t="n"/>
      <c r="D721" s="12" t="n"/>
      <c r="E721" s="15" t="n"/>
      <c r="F721" s="18" t="n"/>
    </row>
    <row r="722">
      <c r="A722" s="6" t="n"/>
      <c r="C722" s="9" t="n"/>
      <c r="D722" s="12" t="n"/>
      <c r="E722" s="15" t="n"/>
      <c r="F722" s="18" t="n"/>
    </row>
    <row r="723">
      <c r="A723" s="6" t="n"/>
      <c r="C723" s="9" t="n"/>
      <c r="D723" s="12" t="n"/>
      <c r="E723" s="15" t="n"/>
      <c r="F723" s="18" t="n"/>
    </row>
    <row r="724">
      <c r="A724" s="6" t="n"/>
      <c r="C724" s="9" t="n"/>
      <c r="D724" s="12" t="n"/>
      <c r="E724" s="15" t="n"/>
      <c r="F724" s="18" t="n"/>
    </row>
    <row r="725">
      <c r="A725" s="6" t="n"/>
      <c r="C725" s="9" t="n"/>
      <c r="D725" s="12" t="n"/>
      <c r="E725" s="15" t="n"/>
      <c r="F725" s="18" t="n"/>
    </row>
    <row r="726">
      <c r="A726" s="6" t="n"/>
      <c r="C726" s="9" t="n"/>
      <c r="D726" s="12" t="n"/>
      <c r="E726" s="15" t="n"/>
      <c r="F726" s="18" t="n"/>
    </row>
    <row r="727">
      <c r="A727" s="6" t="n"/>
      <c r="C727" s="9" t="n"/>
      <c r="D727" s="12" t="n"/>
      <c r="E727" s="15" t="n"/>
      <c r="F727" s="18" t="n"/>
    </row>
    <row r="728">
      <c r="A728" s="6" t="n"/>
      <c r="C728" s="9" t="n"/>
      <c r="D728" s="12" t="n"/>
      <c r="E728" s="15" t="n"/>
      <c r="F728" s="18" t="n"/>
    </row>
    <row r="729">
      <c r="A729" s="6" t="n"/>
      <c r="C729" s="9" t="n"/>
      <c r="D729" s="12" t="n"/>
      <c r="E729" s="15" t="n"/>
      <c r="F729" s="18" t="n"/>
    </row>
    <row r="730">
      <c r="A730" s="6" t="n"/>
      <c r="C730" s="9" t="n"/>
      <c r="D730" s="12" t="n"/>
      <c r="E730" s="15" t="n"/>
      <c r="F730" s="18" t="n"/>
    </row>
    <row r="731">
      <c r="A731" s="6" t="n"/>
      <c r="C731" s="9" t="n"/>
      <c r="D731" s="12" t="n"/>
      <c r="E731" s="15" t="n"/>
      <c r="F731" s="18" t="n"/>
    </row>
    <row r="732">
      <c r="A732" s="6" t="n"/>
      <c r="C732" s="9" t="n"/>
      <c r="D732" s="12" t="n"/>
      <c r="E732" s="15" t="n"/>
      <c r="F732" s="18" t="n"/>
    </row>
    <row r="733">
      <c r="A733" s="6" t="n"/>
      <c r="C733" s="9" t="n"/>
      <c r="D733" s="12" t="n"/>
      <c r="E733" s="15" t="n"/>
      <c r="F733" s="18" t="n"/>
    </row>
    <row r="734">
      <c r="A734" s="6" t="n"/>
      <c r="C734" s="9" t="n"/>
      <c r="D734" s="12" t="n"/>
      <c r="E734" s="15" t="n"/>
      <c r="F734" s="18" t="n"/>
    </row>
    <row r="735">
      <c r="A735" s="6" t="n"/>
      <c r="C735" s="9" t="n"/>
      <c r="D735" s="12" t="n"/>
      <c r="E735" s="15" t="n"/>
      <c r="F735" s="18" t="n"/>
    </row>
    <row r="736">
      <c r="A736" s="6" t="n"/>
      <c r="C736" s="9" t="n"/>
      <c r="D736" s="12" t="n"/>
      <c r="E736" s="15" t="n"/>
      <c r="F736" s="18" t="n"/>
    </row>
    <row r="737">
      <c r="A737" s="6" t="n"/>
      <c r="C737" s="9" t="n"/>
      <c r="D737" s="12" t="n"/>
      <c r="E737" s="15" t="n"/>
      <c r="F737" s="18" t="n"/>
    </row>
    <row r="738">
      <c r="A738" s="6" t="n"/>
      <c r="C738" s="9" t="n"/>
      <c r="D738" s="12" t="n"/>
      <c r="E738" s="15" t="n"/>
      <c r="F738" s="18" t="n"/>
    </row>
    <row r="739">
      <c r="A739" s="6" t="n"/>
      <c r="C739" s="9" t="n"/>
      <c r="D739" s="12" t="n"/>
      <c r="E739" s="15" t="n"/>
      <c r="F739" s="18" t="n"/>
    </row>
    <row r="740">
      <c r="A740" s="6" t="n"/>
      <c r="C740" s="9" t="n"/>
      <c r="D740" s="12" t="n"/>
      <c r="E740" s="15" t="n"/>
      <c r="F740" s="18" t="n"/>
    </row>
    <row r="741">
      <c r="A741" s="6" t="n"/>
      <c r="C741" s="9" t="n"/>
      <c r="D741" s="12" t="n"/>
      <c r="E741" s="15" t="n"/>
      <c r="F741" s="18" t="n"/>
    </row>
    <row r="742">
      <c r="A742" s="6" t="n"/>
      <c r="C742" s="9" t="n"/>
      <c r="D742" s="12" t="n"/>
      <c r="E742" s="15" t="n"/>
      <c r="F742" s="18" t="n"/>
    </row>
    <row r="743">
      <c r="A743" s="6" t="n"/>
      <c r="C743" s="9" t="n"/>
      <c r="D743" s="12" t="n"/>
      <c r="E743" s="15" t="n"/>
      <c r="F743" s="18" t="n"/>
    </row>
    <row r="744">
      <c r="A744" s="6" t="n"/>
      <c r="C744" s="9" t="n"/>
      <c r="D744" s="12" t="n"/>
      <c r="E744" s="15" t="n"/>
      <c r="F744" s="18" t="n"/>
    </row>
    <row r="745">
      <c r="A745" s="6" t="n"/>
      <c r="C745" s="9" t="n"/>
      <c r="D745" s="12" t="n"/>
      <c r="E745" s="15" t="n"/>
      <c r="F745" s="18" t="n"/>
    </row>
    <row r="746">
      <c r="A746" s="6" t="n"/>
      <c r="C746" s="9" t="n"/>
      <c r="D746" s="12" t="n"/>
      <c r="E746" s="15" t="n"/>
      <c r="F746" s="18" t="n"/>
    </row>
    <row r="747">
      <c r="A747" s="6" t="n"/>
      <c r="C747" s="9" t="n"/>
      <c r="D747" s="12" t="n"/>
      <c r="E747" s="15" t="n"/>
      <c r="F747" s="18" t="n"/>
    </row>
    <row r="748">
      <c r="A748" s="6" t="n"/>
      <c r="C748" s="9" t="n"/>
      <c r="D748" s="12" t="n"/>
      <c r="E748" s="15" t="n"/>
      <c r="F748" s="18" t="n"/>
    </row>
    <row r="749">
      <c r="A749" s="6" t="n"/>
      <c r="C749" s="9" t="n"/>
      <c r="D749" s="12" t="n"/>
      <c r="E749" s="15" t="n"/>
      <c r="F749" s="18" t="n"/>
    </row>
    <row r="750">
      <c r="A750" s="6" t="n"/>
      <c r="C750" s="9" t="n"/>
      <c r="D750" s="12" t="n"/>
      <c r="E750" s="15" t="n"/>
      <c r="F750" s="18" t="n"/>
    </row>
    <row r="751">
      <c r="A751" s="6" t="n"/>
      <c r="C751" s="9" t="n"/>
      <c r="D751" s="12" t="n"/>
      <c r="E751" s="15" t="n"/>
      <c r="F751" s="18" t="n"/>
    </row>
    <row r="752">
      <c r="A752" s="6" t="n"/>
      <c r="C752" s="9" t="n"/>
      <c r="D752" s="12" t="n"/>
      <c r="E752" s="15" t="n"/>
      <c r="F752" s="18" t="n"/>
    </row>
    <row r="753">
      <c r="A753" s="6" t="n"/>
      <c r="C753" s="9" t="n"/>
      <c r="D753" s="12" t="n"/>
      <c r="E753" s="15" t="n"/>
      <c r="F753" s="18" t="n"/>
    </row>
    <row r="754">
      <c r="A754" s="6" t="n"/>
      <c r="C754" s="9" t="n"/>
      <c r="D754" s="12" t="n"/>
      <c r="E754" s="15" t="n"/>
      <c r="F754" s="18" t="n"/>
    </row>
    <row r="755">
      <c r="A755" s="6" t="n"/>
      <c r="C755" s="9" t="n"/>
      <c r="D755" s="12" t="n"/>
      <c r="E755" s="15" t="n"/>
      <c r="F755" s="18" t="n"/>
    </row>
    <row r="756">
      <c r="A756" s="6" t="n"/>
      <c r="C756" s="9" t="n"/>
      <c r="D756" s="12" t="n"/>
      <c r="E756" s="15" t="n"/>
      <c r="F756" s="18" t="n"/>
    </row>
    <row r="757">
      <c r="A757" s="6" t="n"/>
      <c r="C757" s="9" t="n"/>
      <c r="D757" s="12" t="n"/>
      <c r="E757" s="15" t="n"/>
      <c r="F757" s="18" t="n"/>
    </row>
    <row r="758">
      <c r="A758" s="6" t="n"/>
      <c r="C758" s="9" t="n"/>
      <c r="D758" s="12" t="n"/>
      <c r="E758" s="15" t="n"/>
      <c r="F758" s="18" t="n"/>
    </row>
    <row r="759">
      <c r="A759" s="6" t="n"/>
      <c r="C759" s="9" t="n"/>
      <c r="D759" s="12" t="n"/>
      <c r="E759" s="15" t="n"/>
      <c r="F759" s="18" t="n"/>
    </row>
    <row r="760">
      <c r="A760" s="6" t="n"/>
      <c r="C760" s="9" t="n"/>
      <c r="D760" s="12" t="n"/>
      <c r="E760" s="15" t="n"/>
      <c r="F760" s="18" t="n"/>
    </row>
    <row r="761">
      <c r="A761" s="6" t="n"/>
      <c r="C761" s="9" t="n"/>
      <c r="D761" s="12" t="n"/>
      <c r="E761" s="15" t="n"/>
      <c r="F761" s="18" t="n"/>
    </row>
    <row r="762">
      <c r="A762" s="6" t="n"/>
      <c r="C762" s="9" t="n"/>
      <c r="D762" s="12" t="n"/>
      <c r="E762" s="15" t="n"/>
      <c r="F762" s="18" t="n"/>
    </row>
    <row r="763">
      <c r="A763" s="6" t="n"/>
      <c r="C763" s="9" t="n"/>
      <c r="D763" s="12" t="n"/>
      <c r="E763" s="15" t="n"/>
      <c r="F763" s="18" t="n"/>
    </row>
    <row r="764">
      <c r="A764" s="6" t="n"/>
      <c r="C764" s="9" t="n"/>
      <c r="D764" s="12" t="n"/>
      <c r="E764" s="15" t="n"/>
      <c r="F764" s="18" t="n"/>
    </row>
    <row r="765">
      <c r="A765" s="6" t="n"/>
      <c r="C765" s="9" t="n"/>
      <c r="D765" s="12" t="n"/>
      <c r="E765" s="15" t="n"/>
      <c r="F765" s="18" t="n"/>
    </row>
    <row r="766">
      <c r="A766" s="6" t="n"/>
      <c r="C766" s="9" t="n"/>
      <c r="D766" s="12" t="n"/>
      <c r="E766" s="15" t="n"/>
      <c r="F766" s="18" t="n"/>
    </row>
    <row r="767">
      <c r="A767" s="6" t="n"/>
      <c r="C767" s="9" t="n"/>
      <c r="D767" s="12" t="n"/>
      <c r="E767" s="15" t="n"/>
      <c r="F767" s="18" t="n"/>
    </row>
    <row r="768">
      <c r="A768" s="6" t="n"/>
      <c r="C768" s="9" t="n"/>
      <c r="D768" s="12" t="n"/>
      <c r="E768" s="15" t="n"/>
      <c r="F768" s="18" t="n"/>
    </row>
    <row r="769">
      <c r="A769" s="6" t="n"/>
      <c r="C769" s="9" t="n"/>
      <c r="D769" s="12" t="n"/>
      <c r="E769" s="15" t="n"/>
      <c r="F769" s="18" t="n"/>
    </row>
    <row r="770">
      <c r="A770" s="6" t="n"/>
      <c r="C770" s="9" t="n"/>
      <c r="D770" s="12" t="n"/>
      <c r="E770" s="15" t="n"/>
      <c r="F770" s="18" t="n"/>
    </row>
    <row r="771">
      <c r="A771" s="6" t="n"/>
      <c r="C771" s="9" t="n"/>
      <c r="D771" s="12" t="n"/>
      <c r="E771" s="15" t="n"/>
      <c r="F771" s="18" t="n"/>
    </row>
    <row r="772">
      <c r="A772" s="6" t="n"/>
      <c r="C772" s="9" t="n"/>
      <c r="D772" s="12" t="n"/>
      <c r="E772" s="15" t="n"/>
      <c r="F772" s="18" t="n"/>
    </row>
    <row r="773">
      <c r="A773" s="6" t="n"/>
      <c r="C773" s="9" t="n"/>
      <c r="D773" s="12" t="n"/>
      <c r="E773" s="15" t="n"/>
      <c r="F773" s="18" t="n"/>
    </row>
    <row r="774">
      <c r="A774" s="6" t="n"/>
      <c r="C774" s="9" t="n"/>
      <c r="D774" s="12" t="n"/>
      <c r="E774" s="15" t="n"/>
      <c r="F774" s="18" t="n"/>
    </row>
    <row r="775">
      <c r="A775" s="6" t="n"/>
      <c r="C775" s="9" t="n"/>
      <c r="D775" s="12" t="n"/>
      <c r="E775" s="15" t="n"/>
      <c r="F775" s="18" t="n"/>
    </row>
    <row r="776">
      <c r="A776" s="6" t="n"/>
      <c r="C776" s="9" t="n"/>
      <c r="D776" s="12" t="n"/>
      <c r="E776" s="15" t="n"/>
      <c r="F776" s="18" t="n"/>
    </row>
    <row r="777">
      <c r="A777" s="6" t="n"/>
      <c r="C777" s="9" t="n"/>
      <c r="D777" s="12" t="n"/>
      <c r="E777" s="15" t="n"/>
      <c r="F777" s="18" t="n"/>
    </row>
    <row r="778">
      <c r="A778" s="6" t="n"/>
      <c r="C778" s="9" t="n"/>
      <c r="D778" s="12" t="n"/>
      <c r="E778" s="15" t="n"/>
      <c r="F778" s="18" t="n"/>
    </row>
    <row r="779">
      <c r="A779" s="6" t="n"/>
      <c r="C779" s="9" t="n"/>
      <c r="D779" s="12" t="n"/>
      <c r="E779" s="15" t="n"/>
      <c r="F779" s="18" t="n"/>
    </row>
    <row r="780">
      <c r="A780" s="6" t="n"/>
      <c r="C780" s="9" t="n"/>
      <c r="D780" s="12" t="n"/>
      <c r="E780" s="15" t="n"/>
      <c r="F780" s="18" t="n"/>
    </row>
    <row r="781">
      <c r="A781" s="6" t="n"/>
      <c r="C781" s="9" t="n"/>
      <c r="D781" s="12" t="n"/>
      <c r="E781" s="15" t="n"/>
      <c r="F781" s="18" t="n"/>
    </row>
    <row r="782">
      <c r="A782" s="6" t="n"/>
      <c r="C782" s="9" t="n"/>
      <c r="D782" s="12" t="n"/>
      <c r="E782" s="15" t="n"/>
      <c r="F782" s="18" t="n"/>
    </row>
    <row r="783">
      <c r="A783" s="6" t="n"/>
      <c r="C783" s="9" t="n"/>
      <c r="D783" s="12" t="n"/>
      <c r="E783" s="15" t="n"/>
      <c r="F783" s="18" t="n"/>
    </row>
    <row r="784">
      <c r="A784" s="6" t="n"/>
      <c r="C784" s="9" t="n"/>
      <c r="D784" s="12" t="n"/>
      <c r="E784" s="15" t="n"/>
      <c r="F784" s="18" t="n"/>
    </row>
    <row r="785">
      <c r="A785" s="6" t="n"/>
      <c r="C785" s="9" t="n"/>
      <c r="D785" s="12" t="n"/>
      <c r="E785" s="15" t="n"/>
      <c r="F785" s="18" t="n"/>
    </row>
    <row r="786">
      <c r="A786" s="6" t="n"/>
      <c r="C786" s="9" t="n"/>
      <c r="D786" s="12" t="n"/>
      <c r="E786" s="15" t="n"/>
      <c r="F786" s="18" t="n"/>
    </row>
    <row r="787">
      <c r="A787" s="6" t="n"/>
      <c r="C787" s="9" t="n"/>
      <c r="D787" s="12" t="n"/>
      <c r="E787" s="15" t="n"/>
      <c r="F787" s="18" t="n"/>
    </row>
    <row r="788">
      <c r="A788" s="6" t="n"/>
      <c r="C788" s="9" t="n"/>
      <c r="D788" s="12" t="n"/>
      <c r="E788" s="15" t="n"/>
      <c r="F788" s="18" t="n"/>
    </row>
    <row r="789">
      <c r="A789" s="6" t="n"/>
      <c r="C789" s="9" t="n"/>
      <c r="D789" s="12" t="n"/>
      <c r="E789" s="15" t="n"/>
      <c r="F789" s="18" t="n"/>
    </row>
    <row r="790">
      <c r="A790" s="6" t="n"/>
      <c r="C790" s="9" t="n"/>
      <c r="D790" s="12" t="n"/>
      <c r="E790" s="15" t="n"/>
      <c r="F790" s="18" t="n"/>
    </row>
    <row r="791">
      <c r="A791" s="6" t="n"/>
      <c r="C791" s="9" t="n"/>
      <c r="D791" s="12" t="n"/>
      <c r="E791" s="15" t="n"/>
      <c r="F791" s="18" t="n"/>
    </row>
    <row r="792">
      <c r="A792" s="6" t="n"/>
      <c r="C792" s="9" t="n"/>
      <c r="D792" s="12" t="n"/>
      <c r="E792" s="15" t="n"/>
      <c r="F792" s="18" t="n"/>
    </row>
    <row r="793">
      <c r="A793" s="6" t="n"/>
      <c r="C793" s="9" t="n"/>
      <c r="D793" s="12" t="n"/>
      <c r="E793" s="15" t="n"/>
      <c r="F793" s="18" t="n"/>
    </row>
    <row r="794">
      <c r="A794" s="6" t="n"/>
      <c r="C794" s="9" t="n"/>
      <c r="D794" s="12" t="n"/>
      <c r="E794" s="15" t="n"/>
      <c r="F794" s="18" t="n"/>
    </row>
    <row r="795">
      <c r="A795" s="6" t="n"/>
      <c r="C795" s="9" t="n"/>
      <c r="D795" s="12" t="n"/>
      <c r="E795" s="15" t="n"/>
      <c r="F795" s="18" t="n"/>
    </row>
    <row r="796">
      <c r="A796" s="6" t="n"/>
      <c r="C796" s="9" t="n"/>
      <c r="D796" s="12" t="n"/>
      <c r="E796" s="15" t="n"/>
      <c r="F796" s="18" t="n"/>
    </row>
    <row r="797">
      <c r="A797" s="6" t="n"/>
      <c r="C797" s="9" t="n"/>
      <c r="D797" s="12" t="n"/>
      <c r="E797" s="15" t="n"/>
      <c r="F797" s="18" t="n"/>
    </row>
    <row r="798">
      <c r="A798" s="6" t="n"/>
      <c r="C798" s="9" t="n"/>
      <c r="D798" s="12" t="n"/>
      <c r="E798" s="15" t="n"/>
      <c r="F798" s="18" t="n"/>
    </row>
    <row r="799">
      <c r="A799" s="6" t="n"/>
      <c r="C799" s="9" t="n"/>
      <c r="D799" s="12" t="n"/>
      <c r="E799" s="15" t="n"/>
      <c r="F799" s="18" t="n"/>
    </row>
    <row r="800">
      <c r="A800" s="6" t="n"/>
      <c r="C800" s="9" t="n"/>
      <c r="D800" s="12" t="n"/>
      <c r="E800" s="15" t="n"/>
      <c r="F800" s="18" t="n"/>
    </row>
    <row r="801">
      <c r="A801" s="6" t="n"/>
      <c r="C801" s="9" t="n"/>
      <c r="D801" s="12" t="n"/>
      <c r="E801" s="15" t="n"/>
      <c r="F801" s="18" t="n"/>
    </row>
    <row r="802">
      <c r="A802" s="6" t="n"/>
      <c r="C802" s="9" t="n"/>
      <c r="D802" s="12" t="n"/>
      <c r="E802" s="15" t="n"/>
      <c r="F802" s="18" t="n"/>
    </row>
    <row r="803">
      <c r="A803" s="6" t="n"/>
      <c r="C803" s="9" t="n"/>
      <c r="D803" s="12" t="n"/>
      <c r="E803" s="15" t="n"/>
      <c r="F803" s="18" t="n"/>
    </row>
    <row r="804">
      <c r="A804" s="6" t="n"/>
      <c r="C804" s="9" t="n"/>
      <c r="D804" s="12" t="n"/>
      <c r="E804" s="15" t="n"/>
      <c r="F804" s="18" t="n"/>
    </row>
    <row r="805">
      <c r="A805" s="6" t="n"/>
      <c r="C805" s="9" t="n"/>
      <c r="D805" s="12" t="n"/>
      <c r="E805" s="15" t="n"/>
      <c r="F805" s="18" t="n"/>
    </row>
    <row r="806">
      <c r="A806" s="6" t="n"/>
      <c r="C806" s="9" t="n"/>
      <c r="D806" s="12" t="n"/>
      <c r="E806" s="15" t="n"/>
      <c r="F806" s="18" t="n"/>
    </row>
    <row r="807">
      <c r="A807" s="6" t="n"/>
      <c r="C807" s="9" t="n"/>
      <c r="D807" s="12" t="n"/>
      <c r="E807" s="15" t="n"/>
      <c r="F807" s="18" t="n"/>
    </row>
    <row r="808">
      <c r="A808" s="6" t="n"/>
      <c r="C808" s="9" t="n"/>
      <c r="D808" s="12" t="n"/>
      <c r="E808" s="15" t="n"/>
      <c r="F808" s="18" t="n"/>
    </row>
    <row r="809">
      <c r="A809" s="6" t="n"/>
      <c r="C809" s="9" t="n"/>
      <c r="D809" s="12" t="n"/>
      <c r="E809" s="15" t="n"/>
      <c r="F809" s="18" t="n"/>
    </row>
    <row r="810">
      <c r="A810" s="6" t="n"/>
      <c r="C810" s="9" t="n"/>
      <c r="D810" s="12" t="n"/>
      <c r="E810" s="15" t="n"/>
      <c r="F810" s="18" t="n"/>
    </row>
    <row r="811">
      <c r="A811" s="6" t="n"/>
      <c r="C811" s="9" t="n"/>
      <c r="D811" s="12" t="n"/>
      <c r="E811" s="15" t="n"/>
      <c r="F811" s="18" t="n"/>
    </row>
    <row r="812">
      <c r="A812" s="6" t="n"/>
      <c r="C812" s="9" t="n"/>
      <c r="D812" s="12" t="n"/>
      <c r="E812" s="15" t="n"/>
      <c r="F812" s="18" t="n"/>
    </row>
    <row r="813">
      <c r="A813" s="6" t="n"/>
      <c r="C813" s="9" t="n"/>
      <c r="D813" s="12" t="n"/>
      <c r="E813" s="15" t="n"/>
      <c r="F813" s="18" t="n"/>
    </row>
    <row r="814">
      <c r="A814" s="6" t="n"/>
      <c r="C814" s="9" t="n"/>
      <c r="D814" s="12" t="n"/>
      <c r="E814" s="15" t="n"/>
      <c r="F814" s="18" t="n"/>
    </row>
    <row r="815">
      <c r="A815" s="6" t="n"/>
      <c r="C815" s="9" t="n"/>
      <c r="D815" s="12" t="n"/>
      <c r="E815" s="15" t="n"/>
      <c r="F815" s="18" t="n"/>
    </row>
    <row r="816">
      <c r="A816" s="6" t="n"/>
      <c r="C816" s="9" t="n"/>
      <c r="D816" s="12" t="n"/>
      <c r="E816" s="15" t="n"/>
      <c r="F816" s="18" t="n"/>
    </row>
    <row r="817">
      <c r="A817" s="6" t="n"/>
      <c r="C817" s="9" t="n"/>
      <c r="D817" s="12" t="n"/>
      <c r="E817" s="15" t="n"/>
      <c r="F817" s="18" t="n"/>
    </row>
    <row r="818">
      <c r="A818" s="6" t="n"/>
      <c r="C818" s="9" t="n"/>
      <c r="D818" s="12" t="n"/>
      <c r="E818" s="15" t="n"/>
      <c r="F818" s="18" t="n"/>
    </row>
    <row r="819">
      <c r="A819" s="6" t="n"/>
      <c r="C819" s="9" t="n"/>
      <c r="D819" s="12" t="n"/>
      <c r="E819" s="15" t="n"/>
      <c r="F819" s="18" t="n"/>
    </row>
    <row r="820">
      <c r="A820" s="6" t="n"/>
      <c r="C820" s="9" t="n"/>
      <c r="D820" s="12" t="n"/>
      <c r="E820" s="15" t="n"/>
      <c r="F820" s="18" t="n"/>
    </row>
    <row r="821">
      <c r="A821" s="6" t="n"/>
      <c r="C821" s="9" t="n"/>
      <c r="D821" s="12" t="n"/>
      <c r="E821" s="15" t="n"/>
      <c r="F821" s="18" t="n"/>
    </row>
    <row r="822">
      <c r="A822" s="6" t="n"/>
      <c r="C822" s="9" t="n"/>
      <c r="D822" s="12" t="n"/>
      <c r="E822" s="15" t="n"/>
      <c r="F822" s="18" t="n"/>
    </row>
    <row r="823">
      <c r="A823" s="6" t="n"/>
      <c r="C823" s="9" t="n"/>
      <c r="D823" s="12" t="n"/>
      <c r="E823" s="15" t="n"/>
      <c r="F823" s="18" t="n"/>
    </row>
    <row r="824">
      <c r="A824" s="6" t="n"/>
      <c r="C824" s="9" t="n"/>
      <c r="D824" s="12" t="n"/>
      <c r="E824" s="15" t="n"/>
      <c r="F824" s="18" t="n"/>
    </row>
    <row r="825">
      <c r="A825" s="6" t="n"/>
      <c r="C825" s="9" t="n"/>
      <c r="D825" s="12" t="n"/>
      <c r="E825" s="15" t="n"/>
      <c r="F825" s="18" t="n"/>
    </row>
    <row r="826">
      <c r="A826" s="6" t="n"/>
      <c r="C826" s="9" t="n"/>
      <c r="D826" s="12" t="n"/>
      <c r="E826" s="15" t="n"/>
      <c r="F826" s="18" t="n"/>
    </row>
    <row r="827">
      <c r="A827" s="6" t="n"/>
      <c r="C827" s="9" t="n"/>
      <c r="D827" s="12" t="n"/>
      <c r="E827" s="15" t="n"/>
      <c r="F827" s="18" t="n"/>
    </row>
    <row r="828">
      <c r="A828" s="6" t="n"/>
      <c r="C828" s="9" t="n"/>
      <c r="D828" s="12" t="n"/>
      <c r="E828" s="15" t="n"/>
      <c r="F828" s="18" t="n"/>
    </row>
    <row r="829">
      <c r="A829" s="6" t="n"/>
      <c r="C829" s="9" t="n"/>
      <c r="D829" s="12" t="n"/>
      <c r="E829" s="15" t="n"/>
      <c r="F829" s="18" t="n"/>
    </row>
    <row r="830">
      <c r="A830" s="6" t="n"/>
      <c r="C830" s="9" t="n"/>
      <c r="D830" s="12" t="n"/>
      <c r="E830" s="15" t="n"/>
      <c r="F830" s="18" t="n"/>
    </row>
    <row r="831">
      <c r="A831" s="6" t="n"/>
      <c r="C831" s="9" t="n"/>
      <c r="D831" s="12" t="n"/>
      <c r="E831" s="15" t="n"/>
      <c r="F831" s="18" t="n"/>
    </row>
    <row r="832">
      <c r="A832" s="6" t="n"/>
      <c r="C832" s="9" t="n"/>
      <c r="D832" s="12" t="n"/>
      <c r="E832" s="15" t="n"/>
      <c r="F832" s="18" t="n"/>
    </row>
    <row r="833">
      <c r="A833" s="6" t="n"/>
      <c r="C833" s="9" t="n"/>
      <c r="D833" s="12" t="n"/>
      <c r="E833" s="15" t="n"/>
      <c r="F833" s="18" t="n"/>
    </row>
    <row r="834">
      <c r="A834" s="6" t="n"/>
      <c r="C834" s="9" t="n"/>
      <c r="D834" s="12" t="n"/>
      <c r="E834" s="15" t="n"/>
      <c r="F834" s="18" t="n"/>
    </row>
    <row r="835">
      <c r="A835" s="6" t="n"/>
      <c r="C835" s="9" t="n"/>
      <c r="D835" s="12" t="n"/>
      <c r="E835" s="15" t="n"/>
      <c r="F835" s="18" t="n"/>
    </row>
    <row r="836">
      <c r="A836" s="6" t="n"/>
      <c r="C836" s="9" t="n"/>
      <c r="D836" s="12" t="n"/>
      <c r="E836" s="15" t="n"/>
      <c r="F836" s="18" t="n"/>
    </row>
    <row r="837">
      <c r="A837" s="6" t="n"/>
      <c r="C837" s="9" t="n"/>
      <c r="D837" s="12" t="n"/>
      <c r="E837" s="15" t="n"/>
      <c r="F837" s="18" t="n"/>
    </row>
    <row r="838">
      <c r="A838" s="6" t="n"/>
      <c r="C838" s="9" t="n"/>
      <c r="D838" s="12" t="n"/>
      <c r="E838" s="15" t="n"/>
      <c r="F838" s="18" t="n"/>
    </row>
    <row r="839">
      <c r="A839" s="6" t="n"/>
      <c r="C839" s="9" t="n"/>
      <c r="D839" s="12" t="n"/>
      <c r="E839" s="15" t="n"/>
      <c r="F839" s="18" t="n"/>
    </row>
    <row r="840">
      <c r="A840" s="6" t="n"/>
      <c r="C840" s="9" t="n"/>
      <c r="D840" s="12" t="n"/>
      <c r="E840" s="15" t="n"/>
      <c r="F840" s="18" t="n"/>
    </row>
    <row r="841">
      <c r="A841" s="6" t="n"/>
      <c r="C841" s="9" t="n"/>
      <c r="D841" s="12" t="n"/>
      <c r="E841" s="15" t="n"/>
      <c r="F841" s="18" t="n"/>
    </row>
    <row r="842">
      <c r="A842" s="6" t="n"/>
      <c r="C842" s="9" t="n"/>
      <c r="D842" s="12" t="n"/>
      <c r="E842" s="15" t="n"/>
      <c r="F842" s="18" t="n"/>
    </row>
    <row r="843">
      <c r="A843" s="6" t="n"/>
      <c r="C843" s="9" t="n"/>
      <c r="D843" s="12" t="n"/>
      <c r="E843" s="15" t="n"/>
      <c r="F843" s="18" t="n"/>
    </row>
    <row r="844">
      <c r="A844" s="6" t="n"/>
      <c r="C844" s="9" t="n"/>
      <c r="D844" s="12" t="n"/>
      <c r="E844" s="15" t="n"/>
      <c r="F844" s="18" t="n"/>
    </row>
    <row r="845">
      <c r="A845" s="6" t="n"/>
      <c r="C845" s="9" t="n"/>
      <c r="D845" s="12" t="n"/>
      <c r="E845" s="15" t="n"/>
      <c r="F845" s="18" t="n"/>
    </row>
    <row r="846">
      <c r="A846" s="6" t="n"/>
      <c r="C846" s="9" t="n"/>
      <c r="D846" s="12" t="n"/>
      <c r="E846" s="15" t="n"/>
      <c r="F846" s="18" t="n"/>
    </row>
    <row r="847">
      <c r="A847" s="6" t="n"/>
      <c r="C847" s="9" t="n"/>
      <c r="D847" s="12" t="n"/>
      <c r="E847" s="15" t="n"/>
      <c r="F847" s="18" t="n"/>
    </row>
    <row r="848">
      <c r="A848" s="6" t="n"/>
      <c r="C848" s="9" t="n"/>
      <c r="D848" s="12" t="n"/>
      <c r="E848" s="15" t="n"/>
      <c r="F848" s="18" t="n"/>
    </row>
    <row r="849">
      <c r="A849" s="6" t="n"/>
      <c r="C849" s="9" t="n"/>
      <c r="D849" s="12" t="n"/>
      <c r="E849" s="15" t="n"/>
      <c r="F849" s="18" t="n"/>
    </row>
    <row r="850">
      <c r="A850" s="6" t="n"/>
      <c r="C850" s="9" t="n"/>
      <c r="D850" s="12" t="n"/>
      <c r="E850" s="15" t="n"/>
      <c r="F850" s="18" t="n"/>
    </row>
    <row r="851">
      <c r="A851" s="6" t="n"/>
      <c r="C851" s="9" t="n"/>
      <c r="D851" s="12" t="n"/>
      <c r="E851" s="15" t="n"/>
      <c r="F851" s="18" t="n"/>
    </row>
    <row r="852">
      <c r="A852" s="6" t="n"/>
      <c r="C852" s="9" t="n"/>
      <c r="D852" s="12" t="n"/>
      <c r="E852" s="15" t="n"/>
      <c r="F852" s="18" t="n"/>
    </row>
    <row r="853">
      <c r="A853" s="6" t="n"/>
      <c r="C853" s="9" t="n"/>
      <c r="D853" s="12" t="n"/>
      <c r="E853" s="15" t="n"/>
      <c r="F853" s="18" t="n"/>
    </row>
    <row r="854">
      <c r="A854" s="6" t="n"/>
      <c r="C854" s="9" t="n"/>
      <c r="D854" s="12" t="n"/>
      <c r="E854" s="15" t="n"/>
      <c r="F854" s="18" t="n"/>
    </row>
    <row r="855">
      <c r="A855" s="6" t="n"/>
      <c r="C855" s="9" t="n"/>
      <c r="D855" s="12" t="n"/>
      <c r="E855" s="15" t="n"/>
      <c r="F855" s="18" t="n"/>
    </row>
    <row r="856">
      <c r="A856" s="6" t="n"/>
      <c r="C856" s="9" t="n"/>
      <c r="D856" s="12" t="n"/>
      <c r="E856" s="15" t="n"/>
      <c r="F856" s="18" t="n"/>
    </row>
    <row r="857">
      <c r="A857" s="6" t="n"/>
      <c r="C857" s="9" t="n"/>
      <c r="D857" s="12" t="n"/>
      <c r="E857" s="15" t="n"/>
      <c r="F857" s="18" t="n"/>
    </row>
    <row r="858">
      <c r="A858" s="6" t="n"/>
      <c r="C858" s="9" t="n"/>
      <c r="D858" s="12" t="n"/>
      <c r="E858" s="15" t="n"/>
      <c r="F858" s="18" t="n"/>
    </row>
    <row r="859">
      <c r="A859" s="6" t="n"/>
      <c r="C859" s="9" t="n"/>
      <c r="D859" s="12" t="n"/>
      <c r="E859" s="15" t="n"/>
      <c r="F859" s="18" t="n"/>
    </row>
    <row r="860">
      <c r="A860" s="6" t="n"/>
      <c r="C860" s="9" t="n"/>
      <c r="D860" s="12" t="n"/>
      <c r="E860" s="15" t="n"/>
      <c r="F860" s="18" t="n"/>
    </row>
    <row r="861">
      <c r="A861" s="6" t="n"/>
      <c r="C861" s="9" t="n"/>
      <c r="D861" s="12" t="n"/>
      <c r="E861" s="15" t="n"/>
      <c r="F861" s="18" t="n"/>
    </row>
    <row r="862">
      <c r="A862" s="6" t="n"/>
      <c r="C862" s="9" t="n"/>
      <c r="D862" s="12" t="n"/>
      <c r="E862" s="15" t="n"/>
      <c r="F862" s="18" t="n"/>
    </row>
    <row r="863">
      <c r="A863" s="6" t="n"/>
      <c r="C863" s="9" t="n"/>
      <c r="D863" s="12" t="n"/>
      <c r="E863" s="15" t="n"/>
      <c r="F863" s="18" t="n"/>
    </row>
    <row r="864">
      <c r="A864" s="6" t="n"/>
      <c r="C864" s="9" t="n"/>
      <c r="D864" s="12" t="n"/>
      <c r="E864" s="15" t="n"/>
      <c r="F864" s="18" t="n"/>
    </row>
    <row r="865">
      <c r="A865" s="6" t="n"/>
      <c r="C865" s="9" t="n"/>
      <c r="D865" s="12" t="n"/>
      <c r="E865" s="15" t="n"/>
      <c r="F865" s="18" t="n"/>
    </row>
    <row r="866">
      <c r="A866" s="6" t="n"/>
      <c r="C866" s="9" t="n"/>
      <c r="D866" s="12" t="n"/>
      <c r="E866" s="15" t="n"/>
      <c r="F866" s="18" t="n"/>
    </row>
    <row r="867">
      <c r="A867" s="6" t="n"/>
      <c r="C867" s="9" t="n"/>
      <c r="D867" s="12" t="n"/>
      <c r="E867" s="15" t="n"/>
      <c r="F867" s="18" t="n"/>
    </row>
    <row r="868">
      <c r="A868" s="6" t="n"/>
      <c r="C868" s="9" t="n"/>
      <c r="D868" s="12" t="n"/>
      <c r="E868" s="15" t="n"/>
      <c r="F868" s="18" t="n"/>
    </row>
    <row r="869">
      <c r="A869" s="6" t="n"/>
      <c r="C869" s="9" t="n"/>
      <c r="D869" s="12" t="n"/>
      <c r="E869" s="15" t="n"/>
      <c r="F869" s="18" t="n"/>
    </row>
    <row r="870">
      <c r="A870" s="6" t="n"/>
      <c r="C870" s="9" t="n"/>
      <c r="D870" s="12" t="n"/>
      <c r="E870" s="15" t="n"/>
      <c r="F870" s="18" t="n"/>
    </row>
    <row r="871">
      <c r="A871" s="6" t="n"/>
      <c r="C871" s="9" t="n"/>
      <c r="D871" s="12" t="n"/>
      <c r="E871" s="15" t="n"/>
      <c r="F871" s="18" t="n"/>
    </row>
    <row r="872">
      <c r="A872" s="6" t="n"/>
      <c r="C872" s="9" t="n"/>
      <c r="D872" s="12" t="n"/>
      <c r="E872" s="15" t="n"/>
      <c r="F872" s="18" t="n"/>
    </row>
    <row r="873">
      <c r="A873" s="6" t="n"/>
      <c r="C873" s="9" t="n"/>
      <c r="D873" s="12" t="n"/>
      <c r="E873" s="15" t="n"/>
      <c r="F873" s="18" t="n"/>
    </row>
    <row r="874">
      <c r="A874" s="6" t="n"/>
      <c r="C874" s="9" t="n"/>
      <c r="D874" s="12" t="n"/>
      <c r="E874" s="15" t="n"/>
      <c r="F874" s="18" t="n"/>
    </row>
    <row r="875">
      <c r="A875" s="6" t="n"/>
      <c r="C875" s="9" t="n"/>
      <c r="D875" s="12" t="n"/>
      <c r="E875" s="15" t="n"/>
      <c r="F875" s="18" t="n"/>
    </row>
    <row r="876">
      <c r="A876" s="6" t="n"/>
      <c r="C876" s="9" t="n"/>
      <c r="D876" s="12" t="n"/>
      <c r="E876" s="15" t="n"/>
      <c r="F876" s="18" t="n"/>
    </row>
    <row r="877">
      <c r="A877" s="6" t="n"/>
      <c r="C877" s="9" t="n"/>
      <c r="D877" s="12" t="n"/>
      <c r="E877" s="15" t="n"/>
      <c r="F877" s="18" t="n"/>
    </row>
    <row r="878">
      <c r="A878" s="6" t="n"/>
      <c r="C878" s="9" t="n"/>
      <c r="D878" s="12" t="n"/>
      <c r="E878" s="15" t="n"/>
      <c r="F878" s="18" t="n"/>
    </row>
    <row r="879">
      <c r="A879" s="6" t="n"/>
      <c r="C879" s="9" t="n"/>
      <c r="D879" s="12" t="n"/>
      <c r="E879" s="15" t="n"/>
      <c r="F879" s="18" t="n"/>
    </row>
    <row r="880">
      <c r="A880" s="6" t="n"/>
      <c r="C880" s="9" t="n"/>
      <c r="D880" s="12" t="n"/>
      <c r="E880" s="15" t="n"/>
      <c r="F880" s="18" t="n"/>
    </row>
    <row r="881">
      <c r="A881" s="6" t="n"/>
      <c r="C881" s="9" t="n"/>
      <c r="D881" s="12" t="n"/>
      <c r="E881" s="15" t="n"/>
      <c r="F881" s="18" t="n"/>
    </row>
    <row r="882">
      <c r="A882" s="6" t="n"/>
      <c r="C882" s="9" t="n"/>
      <c r="D882" s="12" t="n"/>
      <c r="E882" s="15" t="n"/>
      <c r="F882" s="18" t="n"/>
    </row>
    <row r="883">
      <c r="A883" s="6" t="n"/>
      <c r="C883" s="9" t="n"/>
      <c r="D883" s="12" t="n"/>
      <c r="E883" s="15" t="n"/>
      <c r="F883" s="18" t="n"/>
    </row>
    <row r="884">
      <c r="A884" s="6" t="n"/>
      <c r="C884" s="9" t="n"/>
      <c r="D884" s="12" t="n"/>
      <c r="E884" s="15" t="n"/>
      <c r="F884" s="18" t="n"/>
    </row>
    <row r="885">
      <c r="A885" s="6" t="n"/>
      <c r="C885" s="9" t="n"/>
      <c r="D885" s="12" t="n"/>
      <c r="E885" s="15" t="n"/>
      <c r="F885" s="18" t="n"/>
    </row>
    <row r="886">
      <c r="A886" s="6" t="n"/>
      <c r="C886" s="9" t="n"/>
      <c r="D886" s="12" t="n"/>
      <c r="E886" s="15" t="n"/>
      <c r="F886" s="18" t="n"/>
    </row>
    <row r="887">
      <c r="A887" s="6" t="n"/>
      <c r="C887" s="9" t="n"/>
      <c r="D887" s="12" t="n"/>
      <c r="E887" s="15" t="n"/>
      <c r="F887" s="18" t="n"/>
    </row>
    <row r="888">
      <c r="A888" s="6" t="n"/>
      <c r="C888" s="9" t="n"/>
      <c r="D888" s="12" t="n"/>
      <c r="E888" s="15" t="n"/>
      <c r="F888" s="18" t="n"/>
    </row>
    <row r="889">
      <c r="A889" s="6" t="n"/>
      <c r="C889" s="9" t="n"/>
      <c r="D889" s="12" t="n"/>
      <c r="E889" s="15" t="n"/>
      <c r="F889" s="18" t="n"/>
    </row>
    <row r="890">
      <c r="A890" s="6" t="n"/>
      <c r="C890" s="9" t="n"/>
      <c r="D890" s="12" t="n"/>
      <c r="E890" s="15" t="n"/>
      <c r="F890" s="18" t="n"/>
    </row>
    <row r="891">
      <c r="A891" s="6" t="n"/>
      <c r="C891" s="9" t="n"/>
      <c r="D891" s="12" t="n"/>
      <c r="E891" s="15" t="n"/>
      <c r="F891" s="18" t="n"/>
    </row>
    <row r="892">
      <c r="A892" s="6" t="n"/>
      <c r="C892" s="9" t="n"/>
      <c r="D892" s="12" t="n"/>
      <c r="E892" s="15" t="n"/>
      <c r="F892" s="18" t="n"/>
    </row>
    <row r="893">
      <c r="A893" s="6" t="n"/>
      <c r="C893" s="9" t="n"/>
      <c r="D893" s="12" t="n"/>
      <c r="E893" s="15" t="n"/>
      <c r="F893" s="18" t="n"/>
    </row>
    <row r="894">
      <c r="A894" s="6" t="n"/>
      <c r="C894" s="9" t="n"/>
      <c r="D894" s="12" t="n"/>
      <c r="E894" s="15" t="n"/>
      <c r="F894" s="18" t="n"/>
    </row>
    <row r="895">
      <c r="A895" s="6" t="n"/>
      <c r="C895" s="9" t="n"/>
      <c r="D895" s="12" t="n"/>
      <c r="E895" s="15" t="n"/>
      <c r="F895" s="18" t="n"/>
    </row>
    <row r="896">
      <c r="A896" s="6" t="n"/>
      <c r="C896" s="9" t="n"/>
      <c r="D896" s="12" t="n"/>
      <c r="E896" s="15" t="n"/>
      <c r="F896" s="18" t="n"/>
    </row>
    <row r="897">
      <c r="A897" s="6" t="n"/>
      <c r="C897" s="9" t="n"/>
      <c r="D897" s="12" t="n"/>
      <c r="E897" s="15" t="n"/>
      <c r="F897" s="18" t="n"/>
    </row>
    <row r="898">
      <c r="A898" s="6" t="n"/>
      <c r="C898" s="9" t="n"/>
      <c r="D898" s="12" t="n"/>
      <c r="E898" s="15" t="n"/>
      <c r="F898" s="18" t="n"/>
    </row>
    <row r="899">
      <c r="A899" s="6" t="n"/>
      <c r="C899" s="9" t="n"/>
      <c r="D899" s="12" t="n"/>
      <c r="E899" s="15" t="n"/>
      <c r="F899" s="18" t="n"/>
    </row>
    <row r="900">
      <c r="A900" s="6" t="n"/>
      <c r="C900" s="9" t="n"/>
      <c r="D900" s="12" t="n"/>
      <c r="E900" s="15" t="n"/>
      <c r="F900" s="18" t="n"/>
    </row>
    <row r="901">
      <c r="A901" s="6" t="n"/>
      <c r="C901" s="9" t="n"/>
      <c r="D901" s="12" t="n"/>
      <c r="E901" s="15" t="n"/>
      <c r="F901" s="18" t="n"/>
    </row>
    <row r="902">
      <c r="A902" s="6" t="n"/>
      <c r="C902" s="9" t="n"/>
      <c r="D902" s="12" t="n"/>
      <c r="E902" s="15" t="n"/>
      <c r="F902" s="18" t="n"/>
    </row>
    <row r="903">
      <c r="A903" s="6" t="n"/>
      <c r="C903" s="9" t="n"/>
      <c r="D903" s="12" t="n"/>
      <c r="E903" s="15" t="n"/>
      <c r="F903" s="18" t="n"/>
    </row>
    <row r="904">
      <c r="A904" s="6" t="n"/>
      <c r="C904" s="9" t="n"/>
      <c r="D904" s="12" t="n"/>
      <c r="E904" s="15" t="n"/>
      <c r="F904" s="18" t="n"/>
    </row>
    <row r="905">
      <c r="A905" s="6" t="n"/>
      <c r="C905" s="9" t="n"/>
      <c r="D905" s="12" t="n"/>
      <c r="E905" s="15" t="n"/>
      <c r="F905" s="18" t="n"/>
    </row>
    <row r="906">
      <c r="A906" s="6" t="n"/>
      <c r="C906" s="9" t="n"/>
      <c r="D906" s="12" t="n"/>
      <c r="E906" s="15" t="n"/>
      <c r="F906" s="18" t="n"/>
    </row>
    <row r="907">
      <c r="A907" s="6" t="n"/>
      <c r="C907" s="9" t="n"/>
      <c r="D907" s="12" t="n"/>
      <c r="E907" s="15" t="n"/>
      <c r="F907" s="18" t="n"/>
    </row>
    <row r="908">
      <c r="A908" s="6" t="n"/>
      <c r="C908" s="9" t="n"/>
      <c r="D908" s="12" t="n"/>
      <c r="E908" s="15" t="n"/>
      <c r="F908" s="18" t="n"/>
    </row>
    <row r="909">
      <c r="A909" s="6" t="n"/>
      <c r="C909" s="9" t="n"/>
      <c r="D909" s="12" t="n"/>
      <c r="E909" s="15" t="n"/>
      <c r="F909" s="18" t="n"/>
    </row>
    <row r="910">
      <c r="A910" s="6" t="n"/>
      <c r="C910" s="9" t="n"/>
      <c r="D910" s="12" t="n"/>
      <c r="E910" s="15" t="n"/>
      <c r="F910" s="18" t="n"/>
    </row>
    <row r="911">
      <c r="A911" s="6" t="n"/>
      <c r="C911" s="9" t="n"/>
      <c r="D911" s="12" t="n"/>
      <c r="E911" s="15" t="n"/>
      <c r="F911" s="18" t="n"/>
    </row>
    <row r="912">
      <c r="A912" s="6" t="n"/>
      <c r="C912" s="9" t="n"/>
      <c r="D912" s="12" t="n"/>
      <c r="E912" s="15" t="n"/>
      <c r="F912" s="18" t="n"/>
    </row>
    <row r="913">
      <c r="A913" s="6" t="n"/>
      <c r="C913" s="9" t="n"/>
      <c r="D913" s="12" t="n"/>
      <c r="E913" s="15" t="n"/>
      <c r="F913" s="18" t="n"/>
    </row>
    <row r="914">
      <c r="A914" s="6" t="n"/>
      <c r="C914" s="9" t="n"/>
      <c r="D914" s="12" t="n"/>
      <c r="E914" s="15" t="n"/>
      <c r="F914" s="18" t="n"/>
    </row>
    <row r="915">
      <c r="A915" s="6" t="n"/>
      <c r="C915" s="9" t="n"/>
      <c r="D915" s="12" t="n"/>
      <c r="E915" s="15" t="n"/>
      <c r="F915" s="18" t="n"/>
    </row>
    <row r="916">
      <c r="A916" s="6" t="n"/>
      <c r="C916" s="9" t="n"/>
      <c r="D916" s="12" t="n"/>
      <c r="E916" s="15" t="n"/>
      <c r="F916" s="18" t="n"/>
    </row>
    <row r="917">
      <c r="A917" s="6" t="n"/>
      <c r="C917" s="9" t="n"/>
      <c r="D917" s="12" t="n"/>
      <c r="E917" s="15" t="n"/>
      <c r="F917" s="18" t="n"/>
    </row>
    <row r="918">
      <c r="A918" s="6" t="n"/>
      <c r="C918" s="9" t="n"/>
      <c r="D918" s="12" t="n"/>
      <c r="E918" s="15" t="n"/>
      <c r="F918" s="18" t="n"/>
    </row>
    <row r="919">
      <c r="A919" s="6" t="n"/>
      <c r="C919" s="9" t="n"/>
      <c r="D919" s="12" t="n"/>
      <c r="E919" s="15" t="n"/>
      <c r="F919" s="18" t="n"/>
    </row>
    <row r="920">
      <c r="A920" s="6" t="n"/>
      <c r="C920" s="9" t="n"/>
      <c r="D920" s="12" t="n"/>
      <c r="E920" s="15" t="n"/>
      <c r="F920" s="18" t="n"/>
    </row>
    <row r="921">
      <c r="A921" s="6" t="n"/>
      <c r="C921" s="9" t="n"/>
      <c r="D921" s="12" t="n"/>
      <c r="E921" s="15" t="n"/>
      <c r="F921" s="18" t="n"/>
    </row>
    <row r="922">
      <c r="A922" s="6" t="n"/>
      <c r="C922" s="9" t="n"/>
      <c r="D922" s="12" t="n"/>
      <c r="E922" s="15" t="n"/>
      <c r="F922" s="18" t="n"/>
    </row>
    <row r="923">
      <c r="A923" s="6" t="n"/>
      <c r="C923" s="9" t="n"/>
      <c r="D923" s="12" t="n"/>
      <c r="E923" s="15" t="n"/>
      <c r="F923" s="18" t="n"/>
    </row>
    <row r="924">
      <c r="A924" s="6" t="n"/>
      <c r="C924" s="9" t="n"/>
      <c r="D924" s="12" t="n"/>
      <c r="E924" s="15" t="n"/>
      <c r="F924" s="18" t="n"/>
    </row>
    <row r="925">
      <c r="A925" s="6" t="n"/>
      <c r="C925" s="9" t="n"/>
      <c r="D925" s="12" t="n"/>
      <c r="E925" s="15" t="n"/>
      <c r="F925" s="18" t="n"/>
    </row>
    <row r="926">
      <c r="A926" s="6" t="n"/>
      <c r="C926" s="9" t="n"/>
      <c r="D926" s="12" t="n"/>
      <c r="E926" s="15" t="n"/>
      <c r="F926" s="18" t="n"/>
    </row>
    <row r="927">
      <c r="A927" s="6" t="n"/>
      <c r="C927" s="9" t="n"/>
      <c r="D927" s="12" t="n"/>
      <c r="E927" s="15" t="n"/>
      <c r="F927" s="18" t="n"/>
    </row>
    <row r="928">
      <c r="A928" s="6" t="n"/>
      <c r="C928" s="9" t="n"/>
      <c r="D928" s="12" t="n"/>
      <c r="E928" s="15" t="n"/>
      <c r="F928" s="18" t="n"/>
    </row>
    <row r="929">
      <c r="A929" s="6" t="n"/>
      <c r="C929" s="9" t="n"/>
      <c r="D929" s="12" t="n"/>
      <c r="E929" s="15" t="n"/>
      <c r="F929" s="18" t="n"/>
    </row>
    <row r="930">
      <c r="A930" s="6" t="n"/>
      <c r="C930" s="9" t="n"/>
      <c r="D930" s="12" t="n"/>
      <c r="E930" s="15" t="n"/>
      <c r="F930" s="18" t="n"/>
    </row>
    <row r="931">
      <c r="A931" s="6" t="n"/>
      <c r="C931" s="9" t="n"/>
      <c r="D931" s="12" t="n"/>
      <c r="E931" s="15" t="n"/>
      <c r="F931" s="18" t="n"/>
    </row>
    <row r="932">
      <c r="A932" s="6" t="n"/>
      <c r="C932" s="9" t="n"/>
      <c r="D932" s="12" t="n"/>
      <c r="E932" s="15" t="n"/>
      <c r="F932" s="18" t="n"/>
    </row>
    <row r="933">
      <c r="A933" s="6" t="n"/>
      <c r="C933" s="9" t="n"/>
      <c r="D933" s="12" t="n"/>
      <c r="E933" s="15" t="n"/>
      <c r="F933" s="18" t="n"/>
    </row>
    <row r="934">
      <c r="A934" s="6" t="n"/>
      <c r="C934" s="9" t="n"/>
      <c r="D934" s="12" t="n"/>
      <c r="E934" s="15" t="n"/>
      <c r="F934" s="18" t="n"/>
    </row>
    <row r="935">
      <c r="A935" s="6" t="n"/>
      <c r="C935" s="9" t="n"/>
      <c r="D935" s="12" t="n"/>
      <c r="E935" s="15" t="n"/>
      <c r="F935" s="18" t="n"/>
    </row>
    <row r="936">
      <c r="A936" s="6" t="n"/>
      <c r="C936" s="9" t="n"/>
      <c r="D936" s="12" t="n"/>
      <c r="E936" s="15" t="n"/>
      <c r="F936" s="18" t="n"/>
    </row>
    <row r="937">
      <c r="A937" s="6" t="n"/>
      <c r="C937" s="9" t="n"/>
      <c r="D937" s="12" t="n"/>
      <c r="E937" s="15" t="n"/>
      <c r="F937" s="18" t="n"/>
    </row>
    <row r="938">
      <c r="A938" s="6" t="n"/>
      <c r="C938" s="9" t="n"/>
      <c r="D938" s="12" t="n"/>
      <c r="E938" s="15" t="n"/>
      <c r="F938" s="18" t="n"/>
    </row>
    <row r="939">
      <c r="A939" s="6" t="n"/>
      <c r="C939" s="9" t="n"/>
      <c r="D939" s="12" t="n"/>
      <c r="E939" s="15" t="n"/>
      <c r="F939" s="18" t="n"/>
    </row>
    <row r="940">
      <c r="A940" s="6" t="n"/>
      <c r="C940" s="9" t="n"/>
      <c r="D940" s="12" t="n"/>
      <c r="E940" s="15" t="n"/>
      <c r="F940" s="18" t="n"/>
    </row>
    <row r="941">
      <c r="A941" s="6" t="n"/>
      <c r="C941" s="9" t="n"/>
      <c r="D941" s="12" t="n"/>
      <c r="E941" s="15" t="n"/>
      <c r="F941" s="18" t="n"/>
    </row>
    <row r="942">
      <c r="A942" s="6" t="n"/>
      <c r="C942" s="9" t="n"/>
      <c r="D942" s="12" t="n"/>
      <c r="E942" s="15" t="n"/>
      <c r="F942" s="18" t="n"/>
    </row>
    <row r="943">
      <c r="A943" s="6" t="n"/>
      <c r="C943" s="9" t="n"/>
      <c r="D943" s="12" t="n"/>
      <c r="E943" s="15" t="n"/>
      <c r="F943" s="18" t="n"/>
    </row>
    <row r="944">
      <c r="A944" s="6" t="n"/>
      <c r="C944" s="9" t="n"/>
      <c r="D944" s="12" t="n"/>
      <c r="E944" s="15" t="n"/>
      <c r="F944" s="18" t="n"/>
    </row>
    <row r="945">
      <c r="A945" s="6" t="n"/>
      <c r="C945" s="9" t="n"/>
      <c r="D945" s="12" t="n"/>
      <c r="E945" s="15" t="n"/>
      <c r="F945" s="18" t="n"/>
    </row>
    <row r="946">
      <c r="A946" s="6" t="n"/>
      <c r="C946" s="9" t="n"/>
      <c r="D946" s="12" t="n"/>
      <c r="E946" s="15" t="n"/>
      <c r="F946" s="18" t="n"/>
    </row>
    <row r="947">
      <c r="A947" s="6" t="n"/>
      <c r="C947" s="9" t="n"/>
      <c r="D947" s="12" t="n"/>
      <c r="E947" s="15" t="n"/>
      <c r="F947" s="18" t="n"/>
    </row>
    <row r="948">
      <c r="A948" s="6" t="n"/>
      <c r="C948" s="9" t="n"/>
      <c r="D948" s="12" t="n"/>
      <c r="E948" s="15" t="n"/>
      <c r="F948" s="18" t="n"/>
    </row>
    <row r="949">
      <c r="A949" s="6" t="n"/>
      <c r="C949" s="9" t="n"/>
      <c r="D949" s="12" t="n"/>
      <c r="E949" s="15" t="n"/>
      <c r="F949" s="18" t="n"/>
    </row>
    <row r="950">
      <c r="A950" s="6" t="n"/>
      <c r="C950" s="9" t="n"/>
      <c r="D950" s="12" t="n"/>
      <c r="E950" s="15" t="n"/>
      <c r="F950" s="18" t="n"/>
    </row>
    <row r="951">
      <c r="A951" s="6" t="n"/>
      <c r="C951" s="9" t="n"/>
      <c r="D951" s="12" t="n"/>
      <c r="E951" s="15" t="n"/>
      <c r="F951" s="18" t="n"/>
    </row>
    <row r="952">
      <c r="A952" s="6" t="n"/>
      <c r="C952" s="9" t="n"/>
      <c r="D952" s="12" t="n"/>
      <c r="E952" s="15" t="n"/>
      <c r="F952" s="18" t="n"/>
    </row>
    <row r="953">
      <c r="A953" s="6" t="n"/>
      <c r="C953" s="9" t="n"/>
      <c r="D953" s="12" t="n"/>
      <c r="E953" s="15" t="n"/>
      <c r="F953" s="18" t="n"/>
    </row>
    <row r="954">
      <c r="A954" s="6" t="n"/>
      <c r="C954" s="9" t="n"/>
      <c r="D954" s="12" t="n"/>
      <c r="E954" s="15" t="n"/>
      <c r="F954" s="18" t="n"/>
    </row>
    <row r="955">
      <c r="A955" s="6" t="n"/>
      <c r="C955" s="9" t="n"/>
      <c r="D955" s="12" t="n"/>
      <c r="E955" s="15" t="n"/>
      <c r="F955" s="18" t="n"/>
    </row>
    <row r="956">
      <c r="A956" s="6" t="n"/>
      <c r="C956" s="9" t="n"/>
      <c r="D956" s="12" t="n"/>
      <c r="E956" s="15" t="n"/>
      <c r="F956" s="18" t="n"/>
    </row>
    <row r="957">
      <c r="A957" s="6" t="n"/>
      <c r="C957" s="9" t="n"/>
      <c r="D957" s="12" t="n"/>
      <c r="E957" s="15" t="n"/>
      <c r="F957" s="18" t="n"/>
    </row>
    <row r="958">
      <c r="A958" s="6" t="n"/>
      <c r="C958" s="9" t="n"/>
      <c r="D958" s="12" t="n"/>
      <c r="E958" s="15" t="n"/>
      <c r="F958" s="18" t="n"/>
    </row>
    <row r="959">
      <c r="A959" s="6" t="n"/>
      <c r="C959" s="9" t="n"/>
      <c r="D959" s="12" t="n"/>
      <c r="E959" s="15" t="n"/>
      <c r="F959" s="18" t="n"/>
    </row>
    <row r="960">
      <c r="A960" s="6" t="n"/>
      <c r="C960" s="9" t="n"/>
      <c r="D960" s="12" t="n"/>
      <c r="E960" s="15" t="n"/>
      <c r="F960" s="18" t="n"/>
    </row>
    <row r="961">
      <c r="A961" s="6" t="n"/>
      <c r="C961" s="9" t="n"/>
      <c r="D961" s="12" t="n"/>
      <c r="E961" s="15" t="n"/>
      <c r="F961" s="18" t="n"/>
    </row>
    <row r="962">
      <c r="A962" s="6" t="n"/>
      <c r="C962" s="9" t="n"/>
      <c r="D962" s="12" t="n"/>
      <c r="E962" s="15" t="n"/>
      <c r="F962" s="18" t="n"/>
    </row>
    <row r="963">
      <c r="A963" s="6" t="n"/>
      <c r="C963" s="9" t="n"/>
      <c r="D963" s="12" t="n"/>
      <c r="E963" s="15" t="n"/>
      <c r="F963" s="18" t="n"/>
    </row>
    <row r="964">
      <c r="A964" s="6" t="n"/>
      <c r="C964" s="9" t="n"/>
      <c r="D964" s="12" t="n"/>
      <c r="E964" s="15" t="n"/>
      <c r="F964" s="18" t="n"/>
    </row>
    <row r="965">
      <c r="A965" s="6" t="n"/>
      <c r="C965" s="9" t="n"/>
      <c r="D965" s="12" t="n"/>
      <c r="E965" s="15" t="n"/>
      <c r="F965" s="18" t="n"/>
    </row>
    <row r="966">
      <c r="A966" s="6" t="n"/>
      <c r="C966" s="9" t="n"/>
      <c r="D966" s="12" t="n"/>
      <c r="E966" s="15" t="n"/>
      <c r="F966" s="18" t="n"/>
    </row>
    <row r="967">
      <c r="A967" s="6" t="n"/>
      <c r="C967" s="9" t="n"/>
      <c r="D967" s="12" t="n"/>
      <c r="E967" s="15" t="n"/>
      <c r="F967" s="18" t="n"/>
    </row>
    <row r="968">
      <c r="A968" s="6" t="n"/>
      <c r="C968" s="9" t="n"/>
      <c r="D968" s="12" t="n"/>
      <c r="E968" s="15" t="n"/>
      <c r="F968" s="18" t="n"/>
    </row>
    <row r="969">
      <c r="A969" s="6" t="n"/>
      <c r="C969" s="9" t="n"/>
      <c r="D969" s="12" t="n"/>
      <c r="E969" s="15" t="n"/>
      <c r="F969" s="18" t="n"/>
    </row>
    <row r="970">
      <c r="A970" s="6" t="n"/>
      <c r="C970" s="9" t="n"/>
      <c r="D970" s="12" t="n"/>
      <c r="E970" s="15" t="n"/>
      <c r="F970" s="18" t="n"/>
    </row>
    <row r="971">
      <c r="A971" s="6" t="n"/>
      <c r="C971" s="9" t="n"/>
      <c r="D971" s="12" t="n"/>
      <c r="E971" s="15" t="n"/>
      <c r="F971" s="18" t="n"/>
    </row>
    <row r="972">
      <c r="A972" s="6" t="n"/>
      <c r="C972" s="9" t="n"/>
      <c r="D972" s="12" t="n"/>
      <c r="E972" s="15" t="n"/>
      <c r="F972" s="18" t="n"/>
    </row>
    <row r="973">
      <c r="A973" s="6" t="n"/>
      <c r="C973" s="9" t="n"/>
      <c r="D973" s="12" t="n"/>
      <c r="E973" s="15" t="n"/>
      <c r="F973" s="18" t="n"/>
    </row>
    <row r="974">
      <c r="A974" s="6" t="n"/>
      <c r="C974" s="9" t="n"/>
      <c r="D974" s="12" t="n"/>
      <c r="E974" s="15" t="n"/>
      <c r="F974" s="18" t="n"/>
    </row>
    <row r="975">
      <c r="A975" s="6" t="n"/>
      <c r="C975" s="9" t="n"/>
      <c r="D975" s="12" t="n"/>
      <c r="E975" s="15" t="n"/>
      <c r="F975" s="18" t="n"/>
    </row>
    <row r="976">
      <c r="A976" s="6" t="n"/>
      <c r="C976" s="9" t="n"/>
      <c r="D976" s="12" t="n"/>
      <c r="E976" s="15" t="n"/>
      <c r="F976" s="18" t="n"/>
    </row>
    <row r="977">
      <c r="A977" s="6" t="n"/>
      <c r="C977" s="9" t="n"/>
      <c r="D977" s="12" t="n"/>
      <c r="E977" s="15" t="n"/>
      <c r="F977" s="18" t="n"/>
    </row>
    <row r="978">
      <c r="A978" s="6" t="n"/>
      <c r="C978" s="9" t="n"/>
      <c r="D978" s="12" t="n"/>
      <c r="E978" s="15" t="n"/>
      <c r="F978" s="18" t="n"/>
    </row>
    <row r="979">
      <c r="A979" s="6" t="n"/>
      <c r="C979" s="9" t="n"/>
      <c r="D979" s="12" t="n"/>
      <c r="E979" s="15" t="n"/>
      <c r="F979" s="18" t="n"/>
    </row>
    <row r="980">
      <c r="A980" s="6" t="n"/>
      <c r="C980" s="9" t="n"/>
      <c r="D980" s="12" t="n"/>
      <c r="E980" s="15" t="n"/>
      <c r="F980" s="18" t="n"/>
    </row>
    <row r="981">
      <c r="A981" s="6" t="n"/>
      <c r="C981" s="9" t="n"/>
      <c r="D981" s="12" t="n"/>
      <c r="E981" s="15" t="n"/>
      <c r="F981" s="18" t="n"/>
    </row>
    <row r="982">
      <c r="A982" s="6" t="n"/>
      <c r="C982" s="9" t="n"/>
      <c r="D982" s="12" t="n"/>
      <c r="E982" s="15" t="n"/>
      <c r="F982" s="18" t="n"/>
    </row>
    <row r="983">
      <c r="A983" s="6" t="n"/>
      <c r="C983" s="9" t="n"/>
      <c r="D983" s="12" t="n"/>
      <c r="E983" s="15" t="n"/>
      <c r="F983" s="18" t="n"/>
    </row>
    <row r="984">
      <c r="A984" s="6" t="n"/>
      <c r="C984" s="9" t="n"/>
      <c r="D984" s="12" t="n"/>
      <c r="E984" s="15" t="n"/>
      <c r="F984" s="18" t="n"/>
    </row>
    <row r="985">
      <c r="A985" s="6" t="n"/>
      <c r="C985" s="9" t="n"/>
      <c r="D985" s="12" t="n"/>
      <c r="E985" s="15" t="n"/>
      <c r="F985" s="18" t="n"/>
    </row>
    <row r="986">
      <c r="A986" s="6" t="n"/>
      <c r="C986" s="9" t="n"/>
      <c r="D986" s="12" t="n"/>
      <c r="E986" s="15" t="n"/>
      <c r="F986" s="18" t="n"/>
    </row>
    <row r="987">
      <c r="A987" s="6" t="n"/>
      <c r="C987" s="9" t="n"/>
      <c r="D987" s="12" t="n"/>
      <c r="E987" s="15" t="n"/>
      <c r="F987" s="18" t="n"/>
    </row>
    <row r="988">
      <c r="A988" s="6" t="n"/>
      <c r="C988" s="9" t="n"/>
      <c r="D988" s="12" t="n"/>
      <c r="E988" s="15" t="n"/>
      <c r="F988" s="18" t="n"/>
    </row>
    <row r="989">
      <c r="A989" s="6" t="n"/>
      <c r="C989" s="9" t="n"/>
      <c r="D989" s="12" t="n"/>
      <c r="E989" s="15" t="n"/>
      <c r="F989" s="18" t="n"/>
    </row>
    <row r="990">
      <c r="A990" s="6" t="n"/>
      <c r="C990" s="9" t="n"/>
      <c r="D990" s="12" t="n"/>
      <c r="E990" s="15" t="n"/>
      <c r="F990" s="18" t="n"/>
    </row>
    <row r="991">
      <c r="A991" s="6" t="n"/>
      <c r="C991" s="9" t="n"/>
      <c r="D991" s="12" t="n"/>
      <c r="E991" s="15" t="n"/>
      <c r="F991" s="18" t="n"/>
    </row>
    <row r="992">
      <c r="A992" s="6" t="n"/>
      <c r="C992" s="9" t="n"/>
      <c r="D992" s="12" t="n"/>
      <c r="E992" s="15" t="n"/>
      <c r="F992" s="18" t="n"/>
    </row>
    <row r="993">
      <c r="A993" s="6" t="n"/>
      <c r="C993" s="9" t="n"/>
      <c r="D993" s="12" t="n"/>
      <c r="E993" s="15" t="n"/>
      <c r="F993" s="18" t="n"/>
    </row>
    <row r="994">
      <c r="A994" s="6" t="n"/>
      <c r="C994" s="9" t="n"/>
      <c r="D994" s="12" t="n"/>
      <c r="E994" s="15" t="n"/>
      <c r="F994" s="18" t="n"/>
    </row>
    <row r="995">
      <c r="A995" s="6" t="n"/>
      <c r="C995" s="9" t="n"/>
      <c r="D995" s="12" t="n"/>
      <c r="E995" s="15" t="n"/>
      <c r="F995" s="18" t="n"/>
    </row>
    <row r="996">
      <c r="A996" s="6" t="n"/>
      <c r="C996" s="9" t="n"/>
      <c r="D996" s="12" t="n"/>
      <c r="E996" s="15" t="n"/>
      <c r="F996" s="18" t="n"/>
    </row>
    <row r="997">
      <c r="A997" s="6" t="n"/>
      <c r="C997" s="9" t="n"/>
      <c r="D997" s="12" t="n"/>
      <c r="E997" s="15" t="n"/>
      <c r="F997" s="18" t="n"/>
    </row>
    <row r="998">
      <c r="A998" s="6" t="n"/>
      <c r="C998" s="9" t="n"/>
      <c r="D998" s="12" t="n"/>
      <c r="E998" s="15" t="n"/>
      <c r="F998" s="18" t="n"/>
    </row>
    <row r="999">
      <c r="A999" s="6" t="n"/>
      <c r="C999" s="9" t="n"/>
      <c r="D999" s="12" t="n"/>
      <c r="E999" s="15" t="n"/>
      <c r="F999" s="18" t="n"/>
    </row>
    <row r="1000">
      <c r="A1000" s="6" t="n"/>
      <c r="C1000" s="9" t="n"/>
      <c r="D1000" s="12" t="n"/>
      <c r="E1000" s="15" t="n"/>
      <c r="F1000" s="18" t="n"/>
    </row>
  </sheetData>
  <conditionalFormatting sqref="F2:F1000">
    <cfRule type="expression" priority="1" dxfId="2">
      <formula>AND(F2&lt;&gt;"",F2&lt;-E2)</formula>
    </cfRule>
    <cfRule type="expression" priority="4" dxfId="2">
      <formula>AND(F2&lt;&gt;"",F2&lt;-E2)</formula>
    </cfRule>
  </conditionalFormatting>
  <conditionalFormatting sqref="G2:G1000">
    <cfRule type="expression" priority="2" dxfId="1">
      <formula>G2="Risk-Off"</formula>
    </cfRule>
    <cfRule type="expression" priority="3" dxfId="0">
      <formula>G2="Risk-On"</formula>
    </cfRule>
    <cfRule type="expression" priority="5" dxfId="1">
      <formula>G2="Risk-Off"</formula>
    </cfRule>
    <cfRule type="expression" priority="6" dxfId="0">
      <formula>G2="Risk-On"</formula>
    </cfRule>
  </conditionalFormatting>
  <dataValidations count="2">
    <dataValidation sqref="B2:B1000" showDropDown="0" showInputMessage="1" showErrorMessage="1" allowBlank="1" errorTitle="Invalid Entry" error="Please select Hard Currency or Local Currency." promptTitle="Fund Type" prompt="Select 'Hard Currency' or 'Local Currency'" type="list">
      <formula1>"Hard Currency,Local Currency"</formula1>
    </dataValidation>
    <dataValidation sqref="G2:G1000" showDropDown="0" showInputMessage="1" showErrorMessage="1" allowBlank="1" type="list">
      <formula1>"Risk-On,Risk-Off,Neutral"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1F7A1F"/>
    <outlinePr summaryBelow="1" summaryRight="1"/>
    <pageSetUpPr/>
  </sheetPr>
  <dimension ref="A1:H62"/>
  <sheetViews>
    <sheetView showGridLines="0" tabSelected="1" workbookViewId="0">
      <selection activeCell="A1" sqref="A1:H1"/>
    </sheetView>
  </sheetViews>
  <sheetFormatPr baseColWidth="8" defaultRowHeight="14.25"/>
  <cols>
    <col width="3.53125" customWidth="1" min="1" max="1"/>
    <col width="30.19921875" customWidth="1" min="2" max="2"/>
    <col width="3.53125" customWidth="1" min="3" max="3"/>
    <col width="23.1328125" customWidth="1" min="4" max="4"/>
    <col width="3.53125" customWidth="1" min="5" max="5"/>
    <col width="28.46484375" customWidth="1" min="6" max="6"/>
    <col width="23.1328125" customWidth="1" min="7" max="7"/>
    <col width="3.53125" customWidth="1" min="8" max="8"/>
  </cols>
  <sheetData>
    <row r="1" ht="40.05" customHeight="1">
      <c r="A1" s="19" t="inlineStr">
        <is>
          <t>EMERGING MARKETS FIXED INCOME — PERFORMANCE TEAR SHEET</t>
        </is>
      </c>
    </row>
    <row r="2" ht="22.05" customHeight="1">
      <c r="A2" s="20" t="inlineStr">
        <is>
          <t>Institutional Risk Analytics  |  EM Fixed Income Desk</t>
        </is>
      </c>
    </row>
    <row r="4" ht="22.05" customHeight="1">
      <c r="A4" s="21" t="inlineStr">
        <is>
          <t xml:space="preserve">  REPORT PARAMETERS</t>
        </is>
      </c>
    </row>
    <row r="5">
      <c r="B5" s="23" t="inlineStr">
        <is>
          <t>Report Start Date</t>
        </is>
      </c>
      <c r="D5" s="24" t="n">
        <v>45414</v>
      </c>
    </row>
    <row r="6">
      <c r="B6" s="23" t="inlineStr">
        <is>
          <t>Report End Date</t>
        </is>
      </c>
      <c r="D6" s="24" t="n">
        <v>46142</v>
      </c>
    </row>
    <row r="7">
      <c r="B7" s="23" t="inlineStr">
        <is>
          <t>Fund Type Filter</t>
        </is>
      </c>
      <c r="D7" s="25" t="inlineStr">
        <is>
          <t>All</t>
        </is>
      </c>
    </row>
    <row r="8">
      <c r="B8" s="23" t="inlineStr">
        <is>
          <t>Risk-Free Rate (Rf)</t>
        </is>
      </c>
      <c r="D8" s="26" t="n">
        <v>0</v>
      </c>
    </row>
    <row r="10" ht="22.05" customHeight="1">
      <c r="A10" s="21" t="inlineStr">
        <is>
          <t xml:space="preserve">  PERFORMANCE METRICS</t>
        </is>
      </c>
    </row>
    <row r="11" ht="20" customHeight="1">
      <c r="B11" s="27" t="inlineStr">
        <is>
          <t>Metric</t>
        </is>
      </c>
      <c r="C11" s="28" t="n"/>
      <c r="D11" s="27" t="inlineStr">
        <is>
          <t>Hard Currency</t>
        </is>
      </c>
      <c r="E11" s="28" t="n"/>
      <c r="F11" s="27" t="inlineStr">
        <is>
          <t>Local Currency</t>
        </is>
      </c>
      <c r="G11" s="28" t="n"/>
    </row>
    <row r="12">
      <c r="B12" s="29" t="inlineStr">
        <is>
          <t>Cumulative Return</t>
        </is>
      </c>
      <c r="D12" s="31">
        <f t="array" ref="D12">IFERROR(PRODUCT(1+_xlfn._xlws.FILTER(tbl_RawData[Daily_Return],(tbl_RawData[Date]&gt;=Report_Start_Date)*(tbl_RawData[Date]&lt;=Report_End_Date)*(tbl_RawData[Fund_Type]="Hard Currency")))-1,"N/A")</f>
        <v/>
      </c>
      <c r="F12" s="31">
        <f t="array" ref="F12">IFERROR(PRODUCT(1+_xlfn._xlws.FILTER(tbl_RawData[Daily_Return],(tbl_RawData[Date]&gt;=Report_Start_Date)*(tbl_RawData[Date]&lt;=Report_End_Date)*(tbl_RawData[Fund_Type]="Local Currency")))-1,"N/A")</f>
        <v/>
      </c>
    </row>
    <row r="13">
      <c r="B13" s="30" t="inlineStr">
        <is>
          <t>Annualized Volatility</t>
        </is>
      </c>
      <c r="D13" s="32">
        <f t="array" ref="D13">IFERROR(STDEV(_xlfn._xlws.FILTER(tbl_RawData[Daily_Return],(tbl_RawData[Date]&gt;=Report_Start_Date)*(tbl_RawData[Date]&lt;=Report_End_Date)*(tbl_RawData[Fund_Type]="Hard Currency")))*SQRT(252),"N/A")</f>
        <v/>
      </c>
      <c r="F13" s="32">
        <f t="array" ref="F13">IFERROR(STDEV(_xlfn._xlws.FILTER(tbl_RawData[Daily_Return],(tbl_RawData[Date]&gt;=Report_Start_Date)*(tbl_RawData[Date]&lt;=Report_End_Date)*(tbl_RawData[Fund_Type]="Local Currency")))*SQRT(252),"N/A")</f>
        <v/>
      </c>
    </row>
    <row r="14">
      <c r="B14" s="29" t="inlineStr">
        <is>
          <t>Sharpe Ratio</t>
        </is>
      </c>
      <c r="D14" s="33">
        <f>IFERROR((D12-Rf_Rate)/D13,"N/A")</f>
        <v/>
      </c>
      <c r="F14" s="33">
        <f>IFERROR((F12-Rf_Rate)/F13,"N/A")</f>
        <v/>
      </c>
    </row>
    <row r="15">
      <c r="B15" s="30" t="inlineStr">
        <is>
          <t>Max Drawdown</t>
        </is>
      </c>
      <c r="D15" s="32">
        <f t="array" ref="D15">IFERROR(_xlfn.LET(_xlpm.rets,_xlfn._xlws.FILTER(tbl_RawData[Daily_Return],(tbl_RawData[Date]&gt;=Report_Start_Date)*(tbl_RawData[Date]&lt;=Report_End_Date)*(tbl_RawData[Fund_Type]="Hard Currency")),_xlpm.cum,MMULT((ROW(_xlpm.rets)&gt;=TRANSPOSE(ROW(_xlpm.rets)))*1,_xlpm.rets)+1,_xlpm.pk,MMULT((ROW(_xlpm.rets)&gt;=TRANSPOSE(ROW(_xlpm.rets)))*1,IF(ROW(_xlpm.rets)=ROW(_xlpm.rets),1,0)),_xlpm.navs,_xlfn.SCAN(1,_xlpm.rets,_xlfn.LAMBDA(_xlpm.a,_xlpm.r,_xlpm.a*(1+_xlpm.r))),_xlpm.peaks,_xlfn.SCAN(1,_xlpm.navs,_xlfn.LAMBDA(_xlpm.pk,_xlpm.n,MAX(_xlpm.pk,_xlpm.n))),MIN(_xlpm.navs/_xlpm.peaks)-1),"N/A")</f>
        <v/>
      </c>
      <c r="F15" s="32">
        <f t="array" ref="F15">IFERROR(_xlfn.LET(_xlpm.rets,_xlfn._xlws.FILTER(tbl_RawData[Daily_Return],(tbl_RawData[Date]&gt;=Report_Start_Date)*(tbl_RawData[Date]&lt;=Report_End_Date)*(tbl_RawData[Fund_Type]="Local Currency")),_xlpm.navs,_xlfn.SCAN(1,_xlpm.rets,_xlfn.LAMBDA(_xlpm.a,_xlpm.r,_xlpm.a*(1+_xlpm.r))),_xlpm.peaks,_xlfn.SCAN(1,_xlpm.navs,_xlfn.LAMBDA(_xlpm.pk,_xlpm.n,MAX(_xlpm.pk,_xlpm.n))),MIN(_xlpm.navs/_xlpm.peaks)-1),"N/A")</f>
        <v/>
      </c>
    </row>
    <row r="16">
      <c r="B16" s="29" t="inlineStr">
        <is>
          <t>Observation Count</t>
        </is>
      </c>
      <c r="D16" s="34">
        <f t="array" ref="D16">IFERROR(COUNTA(_xlfn._xlws.FILTER(tbl_RawData[Daily_Return],(tbl_RawData[Date]&gt;=Report_Start_Date)*(tbl_RawData[Date]&lt;=Report_End_Date)*(tbl_RawData[Fund_Type]="Hard Currency"))),"N/A")</f>
        <v/>
      </c>
      <c r="F16" s="34">
        <f t="array" ref="F16">IFERROR(COUNTA(_xlfn._xlws.FILTER(tbl_RawData[Daily_Return],(tbl_RawData[Date]&gt;=Report_Start_Date)*(tbl_RawData[Date]&lt;=Report_End_Date)*(tbl_RawData[Fund_Type]="Local Currency"))),"N/A")</f>
        <v/>
      </c>
    </row>
    <row r="17">
      <c r="B17" s="30" t="inlineStr">
        <is>
          <t>Average Daily Return</t>
        </is>
      </c>
      <c r="D17" s="35">
        <f t="array" ref="D17">IFERROR(AVERAGE(_xlfn._xlws.FILTER(tbl_RawData[Daily_Return],(tbl_RawData[Date]&gt;=Report_Start_Date)*(tbl_RawData[Date]&lt;=Report_End_Date)*(tbl_RawData[Fund_Type]="Hard Currency"))),"N/A")</f>
        <v/>
      </c>
      <c r="F17" s="35">
        <f t="array" ref="F17">IFERROR(AVERAGE(_xlfn._xlws.FILTER(tbl_RawData[Daily_Return],(tbl_RawData[Date]&gt;=Report_Start_Date)*(tbl_RawData[Date]&lt;=Report_End_Date)*(tbl_RawData[Fund_Type]="Local Currency"))),"N/A")</f>
        <v/>
      </c>
    </row>
    <row r="20" ht="22.05" customHeight="1">
      <c r="A20" s="21" t="inlineStr">
        <is>
          <t xml:space="preserve">  CUMULATIVE RETURN — CHART DATA (Auto-populated)</t>
        </is>
      </c>
    </row>
    <row r="21">
      <c r="B21" s="27" t="inlineStr">
        <is>
          <t>Date</t>
        </is>
      </c>
      <c r="C21" s="27" t="n"/>
      <c r="D21" s="27" t="inlineStr">
        <is>
          <t>Hard Currency Cum. Return</t>
        </is>
      </c>
      <c r="E21" s="27" t="n"/>
      <c r="F21" s="27" t="inlineStr">
        <is>
          <t>Local Currency Cum. Return</t>
        </is>
      </c>
    </row>
    <row r="22">
      <c r="B22" s="6">
        <f t="array" ref="B22:B31">IFERROR(_xlfn._xlws.SORT(_xlfn.UNIQUE(_xlfn._xlws.FILTER(tbl_RawData[Date],(tbl_RawData[Date]&gt;=Report_Start_Date)*(tbl_RawData[Date]&lt;=Report_End_Date)))),"No Data")</f>
        <v/>
      </c>
      <c r="D22" s="22">
        <f t="array" ref="D22:D31">IFERROR(_xlfn.LET(_xlpm.dates,_xlfn._xlws.SORT(_xlfn.UNIQUE(_xlfn._xlws.FILTER(tbl_RawData[Date],(tbl_RawData[Date]&gt;=Report_Start_Date)*(tbl_RawData[Date]&lt;=Report_End_Date)))),_xlpm.hcRets,_xlfn.MAP(_xlpm.dates,_xlfn.LAMBDA(_xlpm.d,IFERROR(INDEX(_xlfn._xlws.FILTER(tbl_RawData[Daily_Return],(tbl_RawData[Date]=_xlpm.d)*(tbl_RawData[Fund_Type]="Hard Currency")),1),0))),_xlfn.SCAN(1,_xlpm.hcRets,_xlfn.LAMBDA(_xlpm.a,_xlpm.r,_xlpm.a*(1+_xlpm.r)))-1),"N/A")</f>
        <v/>
      </c>
      <c r="F22" s="22">
        <f t="array" ref="F22:F31">IFERROR(_xlfn.LET(_xlpm.dates,_xlfn._xlws.SORT(_xlfn.UNIQUE(_xlfn._xlws.FILTER(tbl_RawData[Date],(tbl_RawData[Date]&gt;=Report_Start_Date)*(tbl_RawData[Date]&lt;=Report_End_Date)))),_xlpm.lcRets,_xlfn.MAP(_xlpm.dates,_xlfn.LAMBDA(_xlpm.d,IFERROR(INDEX(_xlfn._xlws.FILTER(tbl_RawData[Daily_Return],(tbl_RawData[Date]=_xlpm.d)*(tbl_RawData[Fund_Type]="Local Currency")),1),0))),_xlfn.SCAN(1,_xlpm.lcRets,_xlfn.LAMBDA(_xlpm.a,_xlpm.r,_xlpm.a*(1+_xlpm.r)))-1),"N/A")</f>
        <v/>
      </c>
    </row>
    <row r="23">
      <c r="B23" s="6" t="n">
        <v>45660</v>
      </c>
      <c r="D23" s="22" t="n">
        <v>0.005005760000000192</v>
      </c>
      <c r="F23" s="22" t="n">
        <v>0</v>
      </c>
    </row>
    <row r="24">
      <c r="B24" s="6" t="n">
        <v>45661</v>
      </c>
      <c r="D24" s="22" t="n">
        <v>0.005005760000000192</v>
      </c>
      <c r="F24" s="22" t="n">
        <v>-0.004499999999999948</v>
      </c>
    </row>
    <row r="25">
      <c r="B25" s="6" t="n">
        <v>45662</v>
      </c>
      <c r="D25" s="22" t="n">
        <v>0.005005760000000192</v>
      </c>
      <c r="F25" s="22" t="n">
        <v>-0.002409449999999924</v>
      </c>
    </row>
    <row r="26">
      <c r="B26" s="6" t="n">
        <v>45663</v>
      </c>
      <c r="D26" s="22" t="n">
        <v>0.009126283616000208</v>
      </c>
      <c r="F26" s="22" t="n">
        <v>-0.002409449999999924</v>
      </c>
    </row>
    <row r="27">
      <c r="B27" s="6" t="n">
        <v>45664</v>
      </c>
      <c r="D27" s="22" t="n">
        <v>0.008016244704022624</v>
      </c>
      <c r="F27" s="22" t="n">
        <v>-0.002409449999999924</v>
      </c>
    </row>
    <row r="28">
      <c r="B28" s="6" t="n">
        <v>45665</v>
      </c>
      <c r="D28" s="22" t="n">
        <v>0.008016244704022624</v>
      </c>
      <c r="F28" s="22" t="n">
        <v>0.003476334245000157</v>
      </c>
    </row>
    <row r="29">
      <c r="B29" s="6" t="n">
        <v>45668</v>
      </c>
      <c r="D29" s="22" t="n">
        <v>0.0007585277421535697</v>
      </c>
      <c r="F29" s="22" t="n">
        <v>0.003476334245000157</v>
      </c>
    </row>
    <row r="30">
      <c r="B30" s="6" t="n">
        <v>45669</v>
      </c>
      <c r="D30" s="22" t="n">
        <v>0.0007585277421535697</v>
      </c>
      <c r="F30" s="22" t="n">
        <v>0.004981548746367803</v>
      </c>
    </row>
    <row r="31">
      <c r="B31" s="6" t="n">
        <v>45670</v>
      </c>
      <c r="D31" s="22" t="n">
        <v>0.003560651619831434</v>
      </c>
      <c r="F31" s="22" t="n">
        <v>0.004981548746367803</v>
      </c>
    </row>
    <row r="32">
      <c r="B32" s="6" t="n"/>
      <c r="D32" s="22" t="n"/>
      <c r="F32" s="22" t="n"/>
    </row>
    <row r="33">
      <c r="B33" s="6" t="n"/>
      <c r="D33" s="22" t="n"/>
      <c r="F33" s="22" t="n"/>
    </row>
    <row r="34">
      <c r="B34" s="6" t="n"/>
      <c r="D34" s="22" t="n"/>
      <c r="F34" s="22" t="n"/>
    </row>
    <row r="35">
      <c r="B35" s="6" t="n"/>
      <c r="D35" s="22" t="n"/>
      <c r="F35" s="22" t="n"/>
    </row>
    <row r="36">
      <c r="B36" s="6" t="n"/>
      <c r="D36" s="22" t="n"/>
      <c r="F36" s="22" t="n"/>
    </row>
    <row r="37">
      <c r="B37" s="6" t="n"/>
      <c r="D37" s="22" t="n"/>
      <c r="F37" s="22" t="n"/>
    </row>
    <row r="38">
      <c r="B38" s="6" t="n"/>
      <c r="D38" s="22" t="n"/>
      <c r="F38" s="22" t="n"/>
    </row>
    <row r="39">
      <c r="B39" s="6" t="n"/>
      <c r="D39" s="22" t="n"/>
      <c r="F39" s="22" t="n"/>
    </row>
    <row r="40">
      <c r="B40" s="6" t="n"/>
      <c r="D40" s="22" t="n"/>
      <c r="F40" s="22" t="n"/>
    </row>
    <row r="41">
      <c r="B41" s="6" t="n"/>
      <c r="D41" s="22" t="n"/>
      <c r="F41" s="22" t="n"/>
    </row>
    <row r="42">
      <c r="B42" s="6" t="n"/>
      <c r="D42" s="22" t="n"/>
      <c r="F42" s="22" t="n"/>
    </row>
    <row r="43">
      <c r="B43" s="6" t="n"/>
      <c r="D43" s="22" t="n"/>
      <c r="F43" s="22" t="n"/>
    </row>
    <row r="44">
      <c r="B44" s="6" t="n"/>
      <c r="D44" s="22" t="n"/>
      <c r="F44" s="22" t="n"/>
    </row>
    <row r="45">
      <c r="B45" s="6" t="n"/>
      <c r="D45" s="22" t="n"/>
      <c r="F45" s="22" t="n"/>
    </row>
    <row r="46">
      <c r="B46" s="6" t="n"/>
      <c r="D46" s="22" t="n"/>
      <c r="F46" s="22" t="n"/>
    </row>
    <row r="47">
      <c r="B47" s="6" t="n"/>
      <c r="D47" s="22" t="n"/>
      <c r="F47" s="22" t="n"/>
    </row>
    <row r="48">
      <c r="B48" s="6" t="n"/>
      <c r="D48" s="22" t="n"/>
      <c r="F48" s="22" t="n"/>
    </row>
    <row r="49">
      <c r="B49" s="6" t="n"/>
      <c r="D49" s="22" t="n"/>
      <c r="F49" s="22" t="n"/>
    </row>
    <row r="50">
      <c r="B50" s="6" t="n"/>
      <c r="D50" s="22" t="n"/>
      <c r="F50" s="22" t="n"/>
    </row>
    <row r="56" ht="20" customHeight="1">
      <c r="A56" s="49" t="inlineStr">
        <is>
          <t xml:space="preserve">  METHODOLOGY NOTES</t>
        </is>
      </c>
    </row>
    <row r="57">
      <c r="A57" s="2" t="n"/>
      <c r="B57" s="50" t="inlineStr">
        <is>
          <t>Cumulative Return</t>
        </is>
      </c>
      <c r="C57" s="51" t="n"/>
      <c r="D57" s="51" t="inlineStr">
        <is>
          <t>PRODUCT(1 + r_t) − 1 over all observations in window.</t>
        </is>
      </c>
      <c r="E57" s="51" t="n"/>
      <c r="F57" s="51" t="n"/>
      <c r="G57" s="51" t="n"/>
      <c r="H57" s="51" t="n"/>
    </row>
    <row r="58">
      <c r="A58" s="3" t="n"/>
      <c r="B58" s="52" t="inlineStr">
        <is>
          <t>Annualized Volatility</t>
        </is>
      </c>
      <c r="C58" s="53" t="n"/>
      <c r="D58" s="53" t="inlineStr">
        <is>
          <t>σ_daily × √252  |  Uses sample STDEV of daily returns.</t>
        </is>
      </c>
      <c r="E58" s="53" t="n"/>
      <c r="F58" s="53" t="n"/>
      <c r="G58" s="53" t="n"/>
      <c r="H58" s="53" t="n"/>
    </row>
    <row r="59">
      <c r="A59" s="2" t="n"/>
      <c r="B59" s="50" t="inlineStr">
        <is>
          <t>Sharpe Ratio</t>
        </is>
      </c>
      <c r="C59" s="51" t="n"/>
      <c r="D59" s="51" t="inlineStr">
        <is>
          <t>(Cumulative Return − Rf) / Annualized Vol.  Rf = 0 unless overridden in D8.</t>
        </is>
      </c>
      <c r="E59" s="51" t="n"/>
      <c r="F59" s="51" t="n"/>
      <c r="G59" s="51" t="n"/>
      <c r="H59" s="51" t="n"/>
    </row>
    <row r="60">
      <c r="A60" s="3" t="n"/>
      <c r="B60" s="52" t="inlineStr">
        <is>
          <t>Max Drawdown</t>
        </is>
      </c>
      <c r="C60" s="53" t="n"/>
      <c r="D60" s="53" t="inlineStr">
        <is>
          <t>Rolling peak-to-trough: MIN(NAV_t / MAX(NAV_0..t)) − 1 via SCAN/LAMBDA.</t>
        </is>
      </c>
      <c r="E60" s="53" t="n"/>
      <c r="F60" s="53" t="n"/>
      <c r="G60" s="53" t="n"/>
      <c r="H60" s="53" t="n"/>
    </row>
    <row r="61">
      <c r="A61" s="2" t="n"/>
      <c r="B61" s="50" t="inlineStr">
        <is>
          <t>VaR Breach</t>
        </is>
      </c>
      <c r="C61" s="51" t="n"/>
      <c r="D61" s="51" t="inlineStr">
        <is>
          <t>Actual PnL &lt; −VaR_95_Estimate for the observation date.</t>
        </is>
      </c>
      <c r="E61" s="51" t="n"/>
      <c r="F61" s="51" t="n"/>
      <c r="G61" s="51" t="n"/>
      <c r="H61" s="51" t="n"/>
    </row>
    <row r="62">
      <c r="A62" s="3" t="n"/>
      <c r="B62" s="52" t="inlineStr">
        <is>
          <t>Regime Shift</t>
        </is>
      </c>
      <c r="C62" s="53" t="n"/>
      <c r="D62" s="53" t="inlineStr">
        <is>
          <t>Regime_State[t] ≠ Regime_State[t−1].  First row of window excluded.</t>
        </is>
      </c>
      <c r="E62" s="53" t="n"/>
      <c r="F62" s="53" t="n"/>
      <c r="G62" s="53" t="n"/>
      <c r="H62" s="53" t="n"/>
    </row>
  </sheetData>
  <mergeCells count="6">
    <mergeCell ref="A56:H56"/>
    <mergeCell ref="A4:H4"/>
    <mergeCell ref="A20:H20"/>
    <mergeCell ref="A2:H2"/>
    <mergeCell ref="A10:H10"/>
    <mergeCell ref="A1:H1"/>
  </mergeCells>
  <printOptions horizontalCentered="1"/>
  <pageMargins left="0.7" right="0.7" top="0.75" bottom="0.75" header="0.3" footer="0.3"/>
  <pageSetup orientation="landscape" paperSize="0" scale="0" horizontalDpi="0" verticalDpi="0" copies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I50"/>
  <sheetViews>
    <sheetView showGridLines="0" topLeftCell="B1" workbookViewId="0">
      <selection activeCell="D6" sqref="D6"/>
    </sheetView>
  </sheetViews>
  <sheetFormatPr baseColWidth="8" defaultRowHeight="14.25"/>
  <cols>
    <col width="3.53125" customWidth="1" min="1" max="1"/>
    <col width="35.53125" customWidth="1" min="2" max="2"/>
    <col width="3.53125" customWidth="1" min="3" max="3"/>
    <col width="23.1328125" customWidth="1" min="4" max="4"/>
    <col width="3.53125" customWidth="1" min="5" max="5"/>
    <col width="28.46484375" customWidth="1" min="6" max="6"/>
    <col width="3.53125" customWidth="1" min="7" max="7"/>
    <col width="17.796875" customWidth="1" min="8" max="8"/>
    <col width="3.53125" customWidth="1" min="9" max="9"/>
  </cols>
  <sheetData>
    <row r="1" ht="38" customHeight="1">
      <c r="A1" s="36" t="inlineStr">
        <is>
          <t>RISK PIPELINE EXCEPTIONS — ALERTS &amp; AUDIT LOG</t>
        </is>
      </c>
    </row>
    <row r="2" ht="20" customHeight="1">
      <c r="A2" s="37">
        <f>TEXT(Report_Start_Date,"yyyy-mm-dd")&amp;"  →  "&amp;TEXT(Report_End_Date,"yyyy-mm-dd")</f>
        <v/>
      </c>
    </row>
    <row r="4" ht="22.05" customHeight="1">
      <c r="A4" s="38" t="inlineStr">
        <is>
          <t xml:space="preserve">  EXCEPTION SUMMARY</t>
        </is>
      </c>
    </row>
    <row r="5" ht="20" customHeight="1">
      <c r="A5" s="39" t="n"/>
      <c r="B5" s="39" t="inlineStr">
        <is>
          <t>Metric</t>
        </is>
      </c>
      <c r="C5" s="39" t="n"/>
      <c r="D5" s="39" t="inlineStr">
        <is>
          <t>Value</t>
        </is>
      </c>
      <c r="E5" s="39" t="n"/>
      <c r="F5" s="39" t="inlineStr">
        <is>
          <t>Status</t>
        </is>
      </c>
      <c r="G5" s="39" t="n"/>
      <c r="H5" s="39" t="inlineStr">
        <is>
          <t>Tolerance</t>
        </is>
      </c>
      <c r="I5" s="39" t="n"/>
    </row>
    <row r="6">
      <c r="A6" s="3" t="n"/>
      <c r="B6" s="3" t="inlineStr">
        <is>
          <t>Total VaR Breaches</t>
        </is>
      </c>
      <c r="C6" s="3" t="n"/>
      <c r="D6" s="40">
        <f t="array" ref="D6">IFERROR(ROWS(_xlfn._xlws.FILTER(tbl_RawData[Date],(tbl_RawData[Date]&gt;=Report_Start_Date)*(tbl_RawData[Date]&lt;=Report_End_Date)*(tbl_RawData[Actual_PnL]&lt;-tbl_RawData[VaR_95_Estimate]))),"0")</f>
        <v/>
      </c>
      <c r="E6" s="3" t="n"/>
      <c r="F6" s="41">
        <f>IF(D6&gt;H6,"🔴 BREACH","🟢 OK")</f>
        <v/>
      </c>
      <c r="G6" s="3" t="n"/>
      <c r="H6" s="3" t="n">
        <v>5</v>
      </c>
      <c r="I6" s="3" t="n"/>
    </row>
    <row r="7">
      <c r="A7" s="42" t="n"/>
      <c r="B7" s="42" t="inlineStr">
        <is>
          <t>VaR Breach Rate</t>
        </is>
      </c>
      <c r="C7" s="42" t="n"/>
      <c r="D7" s="43">
        <f t="array" ref="D7">IFERROR(D6/ROWS(_xlfn._xlws.FILTER(tbl_RawData[Date],(tbl_RawData[Date]&gt;=Report_Start_Date)*(tbl_RawData[Date]&lt;=Report_End_Date))),"N/A")</f>
        <v/>
      </c>
      <c r="E7" s="42" t="n"/>
      <c r="F7" s="44">
        <f>IF(D7&gt;H7,"🔴 BREACH","🟢 OK")</f>
        <v/>
      </c>
      <c r="G7" s="42" t="n"/>
      <c r="H7" s="45" t="n">
        <v>0.05</v>
      </c>
      <c r="I7" s="42" t="n"/>
    </row>
    <row r="8">
      <c r="A8" s="3" t="n"/>
      <c r="B8" s="3" t="inlineStr">
        <is>
          <t>Total Regime Shifts</t>
        </is>
      </c>
      <c r="C8" s="3" t="n"/>
      <c r="D8" s="40">
        <f t="array" ref="D8">IFERROR(_xlfn.LET(_xlpm.regimes,_xlfn._xlws.FILTER(tbl_RawData[Regime_State],(tbl_RawData[Date]&gt;=Report_Start_Date)*(tbl_RawData[Date]&lt;=Report_End_Date)),_xlpm.n,ROWS(_xlpm.regimes),SUMPRODUCT((MID(_xlpm.regimes,1,10)&lt;&gt;MID(OFFSET(_xlpm.regimes,-1,0,_xlpm.n,1),1,10))*(ROW(_xlpm.regimes)&gt;MIN(ROW(_xlpm.regimes))))),"N/A")</f>
        <v/>
      </c>
      <c r="E8" s="3" t="n"/>
      <c r="F8" s="41">
        <f>IF(D8&gt;H8,"🟡 ELEVATED","🟢 OK")</f>
        <v/>
      </c>
      <c r="G8" s="3" t="n"/>
      <c r="H8" s="3" t="n">
        <v>3</v>
      </c>
      <c r="I8" s="3" t="n"/>
    </row>
    <row r="9">
      <c r="A9" s="42" t="n"/>
      <c r="B9" s="42" t="inlineStr">
        <is>
          <t>Consecutive Breach Flag</t>
        </is>
      </c>
      <c r="C9" s="42" t="n"/>
      <c r="D9" s="46">
        <f t="array" ref="D9">IFERROR(_xlfn.LET(_xlpm.breach,_xlfn._xlws.FILTER(IF(tbl_RawData[Actual_PnL]&lt;-tbl_RawData[VaR_95_Estimate],1,0),(tbl_RawData[Date]&gt;=Report_Start_Date)*(tbl_RawData[Date]&lt;=Report_End_Date)),_xlpm.n,ROWS(_xlpm.breach),IF(SUMPRODUCT((_xlpm.breach=1)*(OFFSET(_xlpm.breach,-1,0,_xlpm.n,1)=1))&gt;0,"⚠ YES — Review Required","✓ No consecutive breaches")),"N/A")</f>
        <v/>
      </c>
      <c r="E9" s="42" t="n"/>
      <c r="F9" s="44" t="inlineStr">
        <is>
          <t>—</t>
        </is>
      </c>
      <c r="G9" s="42" t="n"/>
      <c r="H9" s="42" t="n"/>
      <c r="I9" s="42" t="n"/>
    </row>
    <row r="12" ht="22.05" customHeight="1">
      <c r="A12" s="38" t="inlineStr">
        <is>
          <t xml:space="preserve">  VAR BREACH DETAIL LOG  (Actual PnL &lt; −VaR 95% Estimate)</t>
        </is>
      </c>
    </row>
    <row r="13" ht="20" customHeight="1">
      <c r="A13" s="39" t="n"/>
      <c r="B13" s="39" t="inlineStr">
        <is>
          <t>Date</t>
        </is>
      </c>
      <c r="C13" s="39" t="n"/>
      <c r="D13" s="39" t="inlineStr">
        <is>
          <t>Fund Type</t>
        </is>
      </c>
      <c r="E13" s="39" t="n"/>
      <c r="F13" s="39" t="inlineStr">
        <is>
          <t>VaR 95% Estimate</t>
        </is>
      </c>
      <c r="G13" s="39" t="n"/>
      <c r="H13" s="39" t="inlineStr">
        <is>
          <t>Actual PnL</t>
        </is>
      </c>
      <c r="I13" s="39" t="inlineStr">
        <is>
          <t>Breach Magnitude</t>
        </is>
      </c>
    </row>
    <row r="14">
      <c r="B14" s="6">
        <f t="array" ref="B14:B15">IFERROR(_xlfn._xlws.FILTER(tbl_RawData[Date],(tbl_RawData[Date]&gt;=Report_Start_Date)*(tbl_RawData[Date]&lt;=Report_End_Date)*(tbl_RawData[Actual_PnL]&lt;-tbl_RawData[VaR_95_Estimate])),"No breaches in period")</f>
        <v/>
      </c>
      <c r="D14">
        <f t="array" ref="D14:D15">IFERROR(_xlfn._xlws.FILTER(tbl_RawData[Fund_Type],(tbl_RawData[Date]&gt;=Report_Start_Date)*(tbl_RawData[Date]&lt;=Report_End_Date)*(tbl_RawData[Actual_PnL]&lt;-tbl_RawData[VaR_95_Estimate])),"—")</f>
        <v/>
      </c>
      <c r="F14" s="15">
        <f t="array" ref="F14:F15">IFERROR(_xlfn._xlws.FILTER(tbl_RawData[VaR_95_Estimate],(tbl_RawData[Date]&gt;=Report_Start_Date)*(tbl_RawData[Date]&lt;=Report_End_Date)*(tbl_RawData[Actual_PnL]&lt;-tbl_RawData[VaR_95_Estimate])),"—")</f>
        <v/>
      </c>
      <c r="H14" s="18">
        <f t="array" ref="H14:H15">IFERROR(_xlfn._xlws.FILTER(tbl_RawData[Actual_PnL],(tbl_RawData[Date]&gt;=Report_Start_Date)*(tbl_RawData[Date]&lt;=Report_End_Date)*(tbl_RawData[Actual_PnL]&lt;-tbl_RawData[VaR_95_Estimate])),"—")</f>
        <v/>
      </c>
      <c r="I14" s="18">
        <f t="array" ref="I14:I15">IFERROR(_xlfn.LET(_xlpm.pnl,_xlfn._xlws.FILTER(tbl_RawData[Actual_PnL],(tbl_RawData[Date]&gt;=Report_Start_Date)*(tbl_RawData[Date]&lt;=Report_End_Date)*(tbl_RawData[Actual_PnL]&lt;-tbl_RawData[VaR_95_Estimate])),_xlpm.var,_xlfn._xlws.FILTER(tbl_RawData[VaR_95_Estimate],(tbl_RawData[Date]&gt;=Report_Start_Date)*(tbl_RawData[Date]&lt;=Report_End_Date)*(tbl_RawData[Actual_PnL]&lt;-tbl_RawData[VaR_95_Estimate])),_xlpm.pnl+_xlpm.var),"—")</f>
        <v/>
      </c>
    </row>
    <row r="15">
      <c r="B15" s="6" t="n">
        <v>45668</v>
      </c>
      <c r="D15" t="inlineStr">
        <is>
          <t>Hard Currency</t>
        </is>
      </c>
      <c r="F15" s="15" t="n">
        <v>8500</v>
      </c>
      <c r="H15" s="18" t="n">
        <v>-9800</v>
      </c>
      <c r="I15" s="18" t="n">
        <v>-1300</v>
      </c>
    </row>
    <row r="16">
      <c r="B16" s="6" t="n"/>
      <c r="F16" s="15" t="n"/>
      <c r="H16" s="18" t="n"/>
      <c r="I16" s="18" t="n"/>
    </row>
    <row r="17">
      <c r="B17" s="6" t="n"/>
      <c r="F17" s="15" t="n"/>
      <c r="H17" s="18" t="n"/>
      <c r="I17" s="18" t="n"/>
    </row>
    <row r="18">
      <c r="B18" s="6" t="n"/>
      <c r="F18" s="15" t="n"/>
      <c r="H18" s="18" t="n"/>
      <c r="I18" s="18" t="n"/>
    </row>
    <row r="19">
      <c r="B19" s="6" t="n"/>
      <c r="F19" s="15" t="n"/>
      <c r="H19" s="18" t="n"/>
      <c r="I19" s="18" t="n"/>
    </row>
    <row r="20">
      <c r="B20" s="6" t="n"/>
      <c r="F20" s="15" t="n"/>
      <c r="H20" s="18" t="n"/>
      <c r="I20" s="18" t="n"/>
    </row>
    <row r="21">
      <c r="B21" s="6" t="n"/>
      <c r="F21" s="15" t="n"/>
      <c r="H21" s="18" t="n"/>
      <c r="I21" s="18" t="n"/>
    </row>
    <row r="22">
      <c r="B22" s="6" t="n"/>
      <c r="F22" s="15" t="n"/>
      <c r="H22" s="18" t="n"/>
      <c r="I22" s="18" t="n"/>
    </row>
    <row r="23">
      <c r="B23" s="6" t="n"/>
      <c r="F23" s="15" t="n"/>
      <c r="H23" s="18" t="n"/>
      <c r="I23" s="18" t="n"/>
    </row>
    <row r="24">
      <c r="B24" s="6" t="n"/>
      <c r="F24" s="15" t="n"/>
      <c r="H24" s="18" t="n"/>
      <c r="I24" s="18" t="n"/>
    </row>
    <row r="25">
      <c r="B25" s="6" t="n"/>
      <c r="F25" s="15" t="n"/>
      <c r="H25" s="18" t="n"/>
      <c r="I25" s="18" t="n"/>
    </row>
    <row r="26">
      <c r="B26" s="6" t="n"/>
      <c r="F26" s="15" t="n"/>
      <c r="H26" s="18" t="n"/>
      <c r="I26" s="18" t="n"/>
    </row>
    <row r="27">
      <c r="B27" s="6" t="n"/>
      <c r="F27" s="15" t="n"/>
      <c r="H27" s="18" t="n"/>
      <c r="I27" s="18" t="n"/>
    </row>
    <row r="28">
      <c r="B28" s="6" t="n"/>
      <c r="F28" s="15" t="n"/>
      <c r="H28" s="18" t="n"/>
      <c r="I28" s="18" t="n"/>
    </row>
    <row r="29">
      <c r="B29" s="6" t="n"/>
      <c r="F29" s="15" t="n"/>
      <c r="H29" s="18" t="n"/>
      <c r="I29" s="18" t="n"/>
    </row>
    <row r="30">
      <c r="B30" s="6" t="n"/>
      <c r="F30" s="15" t="n"/>
      <c r="H30" s="18" t="n"/>
      <c r="I30" s="18" t="n"/>
    </row>
    <row r="34" ht="22.05" customHeight="1">
      <c r="A34" s="47" t="inlineStr">
        <is>
          <t xml:space="preserve">  REGIME TRANSITION LOG  (State changed vs. T−1)</t>
        </is>
      </c>
    </row>
    <row r="35" ht="20" customHeight="1">
      <c r="A35" s="48" t="n"/>
      <c r="B35" s="48" t="inlineStr">
        <is>
          <t>Date</t>
        </is>
      </c>
      <c r="C35" s="48" t="n"/>
      <c r="D35" s="48" t="inlineStr">
        <is>
          <t>Fund Type</t>
        </is>
      </c>
      <c r="E35" s="48" t="n"/>
      <c r="F35" s="48" t="inlineStr">
        <is>
          <t>Previous Regime</t>
        </is>
      </c>
      <c r="G35" s="48" t="n"/>
      <c r="H35" s="48" t="inlineStr">
        <is>
          <t>Current Regime</t>
        </is>
      </c>
      <c r="I35" s="48" t="inlineStr">
        <is>
          <t>Shift Direction</t>
        </is>
      </c>
    </row>
    <row r="36">
      <c r="B36" s="6">
        <f t="array" ref="B36">IFERROR(_xlfn.LET(_xlpm.inWindow,(tbl_RawData[Date]&gt;=Report_Start_Date)*(tbl_RawData[Date]&lt;=Report_End_Date),_xlpm.dates,_xlfn._xlws.FILTER(tbl_RawData[Date],_xlpm.inWindow),_xlpm.regimes,_xlfn._xlws.FILTER(tbl_RawData[Regime_State],_xlpm.inWindow),_xlpm.n,ROWS(_xlpm.regimes),_xlpm.shifted,IF(ROW(_xlpm.regimes)=MIN(ROW(_xlpm.regimes)),_xlpm.regimes,OFFSET(_xlpm.regimes,-1,0,_xlpm.n,1)),_xlpm.hasShift,(_xlpm.regimes&lt;&gt;_xlpm.shifted)*(ROW(_xlpm.regimes)&gt;MIN(ROW(_xlpm.regimes))),_xlfn._xlws.FILTER(_xlpm.dates,_xlpm.hasShift)),"No regime shifts")</f>
        <v/>
      </c>
      <c r="D36">
        <f t="array" ref="D36">IFERROR(_xlfn.LET(_xlpm.inWindow,(tbl_RawData[Date]&gt;=Report_Start_Date)*(tbl_RawData[Date]&lt;=Report_End_Date),_xlpm.regimes,_xlfn._xlws.FILTER(tbl_RawData[Regime_State],_xlpm.inWindow),_xlpm.n,ROWS(_xlpm.regimes),_xlpm.shifted,IF(ROW(_xlpm.regimes)=MIN(ROW(_xlpm.regimes)),_xlpm.regimes,OFFSET(_xlpm.regimes,-1,0,_xlpm.n,1)),_xlpm.hasShift,(_xlpm.regimes&lt;&gt;_xlpm.shifted)*(ROW(_xlpm.regimes)&gt;MIN(ROW(_xlpm.regimes))),_xlpm.ftype,_xlfn._xlws.FILTER(tbl_RawData[Fund_Type],_xlpm.inWindow),_xlfn._xlws.FILTER(_xlpm.ftype,_xlpm.hasShift)),"—")</f>
        <v/>
      </c>
      <c r="F36">
        <f t="array" ref="F36">IFERROR(_xlfn.LET(_xlpm.inWindow,(tbl_RawData[Date]&gt;=Report_Start_Date)*(tbl_RawData[Date]&lt;=Report_End_Date),_xlpm.regimes,_xlfn._xlws.FILTER(tbl_RawData[Regime_State],_xlpm.inWindow),_xlpm.n,ROWS(_xlpm.regimes),_xlpm.shifted,IF(ROW(_xlpm.regimes)=MIN(ROW(_xlpm.regimes)),_xlpm.regimes,OFFSET(_xlpm.regimes,-1,0,_xlpm.n,1)),_xlpm.hasShift,(_xlpm.regimes&lt;&gt;_xlpm.shifted)*(ROW(_xlpm.regimes)&gt;MIN(ROW(_xlpm.regimes))),_xlfn._xlws.FILTER(_xlpm.shifted,_xlpm.hasShift)),"—")</f>
        <v/>
      </c>
      <c r="H36">
        <f t="array" ref="H36">IFERROR(_xlfn.LET(_xlpm.inWindow,(tbl_RawData[Date]&gt;=Report_Start_Date)*(tbl_RawData[Date]&lt;=Report_End_Date),_xlpm.regimes,_xlfn._xlws.FILTER(tbl_RawData[Regime_State],_xlpm.inWindow),_xlpm.n,ROWS(_xlpm.regimes),_xlpm.shifted,IF(ROW(_xlpm.regimes)=MIN(ROW(_xlpm.regimes)),_xlpm.regimes,OFFSET(_xlpm.regimes,-1,0,_xlpm.n,1)),_xlpm.hasShift,(_xlpm.regimes&lt;&gt;_xlpm.shifted)*(ROW(_xlpm.regimes)&gt;MIN(ROW(_xlpm.regimes))),_xlfn._xlws.FILTER(_xlpm.regimes,_xlpm.hasShift)),"—")</f>
        <v/>
      </c>
      <c r="I36">
        <f t="array" ref="I36">IFERROR(_xlfn.LET(_xlpm.inWindow,(tbl_RawData[Date]&gt;=Report_Start_Date)*(tbl_RawData[Date]&lt;=Report_End_Date),_xlpm.regimes,_xlfn._xlws.FILTER(tbl_RawData[Regime_State],_xlpm.inWindow),_xlpm.n,ROWS(_xlpm.regimes),_xlpm.shifted,IF(ROW(_xlpm.regimes)=MIN(ROW(_xlpm.regimes)),_xlpm.regimes,OFFSET(_xlpm.regimes,-1,0,_xlpm.n,1)),_xlpm.hasShift,(_xlpm.regimes&lt;&gt;_xlpm.shifted)*(ROW(_xlpm.regimes)&gt;MIN(ROW(_xlpm.regimes))),_xlpm.prev,_xlfn._xlws.FILTER(_xlpm.shifted,_xlpm.hasShift),_xlpm.curr,_xlfn._xlws.FILTER(_xlpm.regimes,_xlpm.hasShift),_xlpm.prev&amp;" → "&amp;_xlpm.curr),"—")</f>
        <v/>
      </c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</sheetData>
  <mergeCells count="5">
    <mergeCell ref="A2:I2"/>
    <mergeCell ref="A1:I1"/>
    <mergeCell ref="A34:I34"/>
    <mergeCell ref="A12:I12"/>
    <mergeCell ref="A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 ht="28" customHeight="1">
      <c r="A1" s="54" t="inlineStr">
        <is>
          <t>EM FIXED INCOME — RISK SUMMARY</t>
        </is>
      </c>
    </row>
    <row r="2" ht="30" customHeight="1">
      <c r="A2" s="55" t="inlineStr">
        <is>
          <t>METRIC</t>
        </is>
      </c>
      <c r="B2" s="55" t="inlineStr">
        <is>
          <t>EM Hard Currency Sustainable</t>
        </is>
      </c>
      <c r="C2" s="55" t="inlineStr">
        <is>
          <t>EM Local Currency Sustainable</t>
        </is>
      </c>
    </row>
    <row r="3" ht="18" customHeight="1">
      <c r="A3" s="56" t="inlineStr">
        <is>
          <t>RETURN METRICS</t>
        </is>
      </c>
    </row>
    <row r="4">
      <c r="A4" s="57" t="inlineStr">
        <is>
          <t>Cumulative Log Return (%)</t>
        </is>
      </c>
      <c r="B4" s="58" t="inlineStr">
        <is>
          <t>—</t>
        </is>
      </c>
      <c r="C4" s="58" t="inlineStr">
        <is>
          <t>—</t>
        </is>
      </c>
    </row>
    <row r="5">
      <c r="A5" s="59" t="inlineStr">
        <is>
          <t>Annualised Return (%)</t>
        </is>
      </c>
      <c r="B5" s="60" t="inlineStr">
        <is>
          <t>—</t>
        </is>
      </c>
      <c r="C5" s="60" t="inlineStr">
        <is>
          <t>—</t>
        </is>
      </c>
    </row>
    <row r="6">
      <c r="A6" s="57" t="inlineStr">
        <is>
          <t>Carry — Wtd Avg Yield (%)</t>
        </is>
      </c>
      <c r="B6" s="58" t="inlineStr">
        <is>
          <t>—</t>
        </is>
      </c>
      <c r="C6" s="58" t="inlineStr">
        <is>
          <t>—</t>
        </is>
      </c>
    </row>
    <row r="7">
      <c r="A7" s="59" t="inlineStr">
        <is>
          <t>Roll-Down Return (est. %)</t>
        </is>
      </c>
      <c r="B7" s="60" t="inlineStr">
        <is>
          <t>—</t>
        </is>
      </c>
      <c r="C7" s="60" t="inlineStr">
        <is>
          <t>—</t>
        </is>
      </c>
    </row>
    <row r="8" ht="18" customHeight="1">
      <c r="A8" s="56" t="inlineStr">
        <is>
          <t>RISK &amp; RATIO METRICS</t>
        </is>
      </c>
    </row>
    <row r="9">
      <c r="A9" s="59" t="inlineStr">
        <is>
          <t>Annualised Volatility (%)</t>
        </is>
      </c>
      <c r="B9" s="60" t="inlineStr">
        <is>
          <t>—</t>
        </is>
      </c>
      <c r="C9" s="60" t="inlineStr">
        <is>
          <t>—</t>
        </is>
      </c>
    </row>
    <row r="10">
      <c r="A10" s="57" t="inlineStr">
        <is>
          <t>Maximum Drawdown (%)</t>
        </is>
      </c>
      <c r="B10" s="58" t="inlineStr">
        <is>
          <t>—</t>
        </is>
      </c>
      <c r="C10" s="58" t="inlineStr">
        <is>
          <t>—</t>
        </is>
      </c>
    </row>
    <row r="11">
      <c r="A11" s="59" t="inlineStr">
        <is>
          <t>Sharpe Ratio (rf = STR)</t>
        </is>
      </c>
      <c r="B11" s="60" t="inlineStr">
        <is>
          <t>—</t>
        </is>
      </c>
      <c r="C11" s="60" t="inlineStr">
        <is>
          <t>—</t>
        </is>
      </c>
    </row>
    <row r="12">
      <c r="A12" s="57" t="inlineStr">
        <is>
          <t>Sortino Ratio (rf = STR)</t>
        </is>
      </c>
      <c r="B12" s="58" t="inlineStr">
        <is>
          <t>—</t>
        </is>
      </c>
      <c r="C12" s="58" t="inlineStr">
        <is>
          <t>—</t>
        </is>
      </c>
    </row>
    <row r="13">
      <c r="A13" s="59" t="inlineStr">
        <is>
          <t>Sharpe Ratio (rf = 0, ref)</t>
        </is>
      </c>
      <c r="B13" s="60" t="inlineStr">
        <is>
          <t>—</t>
        </is>
      </c>
      <c r="C13" s="60" t="inlineStr">
        <is>
          <t>—</t>
        </is>
      </c>
    </row>
    <row r="14">
      <c r="A14" s="57" t="inlineStr">
        <is>
          <t>Sortino Ratio (MAR = 0, ref)</t>
        </is>
      </c>
      <c r="B14" s="58" t="inlineStr">
        <is>
          <t>—</t>
        </is>
      </c>
      <c r="C14" s="58" t="inlineStr">
        <is>
          <t>—</t>
        </is>
      </c>
    </row>
    <row r="15">
      <c r="A15" s="59" t="inlineStr">
        <is>
          <t>Calmar Ratio</t>
        </is>
      </c>
      <c r="B15" s="60" t="inlineStr">
        <is>
          <t>—</t>
        </is>
      </c>
      <c r="C15" s="60" t="inlineStr">
        <is>
          <t>—</t>
        </is>
      </c>
    </row>
    <row r="16" ht="18" customHeight="1">
      <c r="A16" s="56" t="inlineStr">
        <is>
          <t>BOND ANALYTICS</t>
        </is>
      </c>
    </row>
    <row r="17">
      <c r="A17" s="59" t="inlineStr">
        <is>
          <t>AUM (EUR)</t>
        </is>
      </c>
      <c r="B17" s="60" t="inlineStr">
        <is>
          <t>—</t>
        </is>
      </c>
      <c r="C17" s="60" t="inlineStr">
        <is>
          <t>—</t>
        </is>
      </c>
    </row>
    <row r="18">
      <c r="A18" s="57" t="inlineStr">
        <is>
          <t>Modified Duration (yrs)</t>
        </is>
      </c>
      <c r="B18" s="58" t="inlineStr">
        <is>
          <t>—</t>
        </is>
      </c>
      <c r="C18" s="58" t="inlineStr">
        <is>
          <t>—</t>
        </is>
      </c>
    </row>
    <row r="19">
      <c r="A19" s="59" t="inlineStr">
        <is>
          <t>DV01 (% of NAV per 1bp)</t>
        </is>
      </c>
      <c r="B19" s="60" t="inlineStr">
        <is>
          <t>—</t>
        </is>
      </c>
      <c r="C19" s="60" t="inlineStr">
        <is>
          <t>—</t>
        </is>
      </c>
    </row>
    <row r="20">
      <c r="A20" s="57" t="inlineStr">
        <is>
          <t>DV01 (EUR per 1bp parallel)</t>
        </is>
      </c>
      <c r="B20" s="58" t="inlineStr">
        <is>
          <t>—</t>
        </is>
      </c>
      <c r="C20" s="58" t="inlineStr">
        <is>
          <t>—</t>
        </is>
      </c>
    </row>
    <row r="21">
      <c r="A21" s="59" t="inlineStr">
        <is>
          <t>Convexity (yrs2)</t>
        </is>
      </c>
      <c r="B21" s="60" t="inlineStr">
        <is>
          <t>—</t>
        </is>
      </c>
      <c r="C21" s="60" t="inlineStr">
        <is>
          <t>—</t>
        </is>
      </c>
    </row>
    <row r="22">
      <c r="A22" s="57" t="inlineStr">
        <is>
          <t>YTM — Wtd Avg Benchmark (%)</t>
        </is>
      </c>
      <c r="B22" s="58" t="inlineStr">
        <is>
          <t>—</t>
        </is>
      </c>
      <c r="C22" s="58" t="inlineStr">
        <is>
          <t>—</t>
        </is>
      </c>
    </row>
    <row r="23">
      <c r="A23" s="59" t="inlineStr">
        <is>
          <t>Yield Curve Slope (long-short, %)</t>
        </is>
      </c>
      <c r="B23" s="60" t="inlineStr">
        <is>
          <t>—</t>
        </is>
      </c>
      <c r="C23" s="60" t="inlineStr">
        <is>
          <t>—</t>
        </is>
      </c>
    </row>
  </sheetData>
  <mergeCells count="4">
    <mergeCell ref="A1:C1"/>
    <mergeCell ref="A8:C8"/>
    <mergeCell ref="A3:C3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54" t="inlineStr">
        <is>
          <t>EM FIXED INCOME — VAR &amp; CVAR ANALYSIS</t>
        </is>
      </c>
    </row>
    <row r="2" ht="18" customHeight="1">
      <c r="A2" s="56" t="inlineStr">
        <is>
          <t>VAR &amp; CVAR AS % OF NAV</t>
        </is>
      </c>
    </row>
    <row r="3" ht="30" customHeight="1">
      <c r="A3" s="55" t="inlineStr">
        <is>
          <t>Portfolio</t>
        </is>
      </c>
      <c r="B3" s="55" t="inlineStr">
        <is>
          <t>Confidence</t>
        </is>
      </c>
      <c r="C3" s="55" t="inlineStr">
        <is>
          <t>Param VaR (%)</t>
        </is>
      </c>
      <c r="D3" s="55" t="inlineStr">
        <is>
          <t>Param CVaR (%)</t>
        </is>
      </c>
      <c r="E3" s="55" t="inlineStr">
        <is>
          <t>Hist VaR (%)</t>
        </is>
      </c>
      <c r="F3" s="55" t="inlineStr">
        <is>
          <t>Hist CVaR (%)</t>
        </is>
      </c>
      <c r="G3" s="55" t="inlineStr">
        <is>
          <t>MC VaR (%)</t>
        </is>
      </c>
    </row>
    <row r="4">
      <c r="A4" s="57" t="inlineStr">
        <is>
          <t>—</t>
        </is>
      </c>
      <c r="B4" s="58" t="inlineStr">
        <is>
          <t>—</t>
        </is>
      </c>
      <c r="C4" s="58" t="inlineStr">
        <is>
          <t>—</t>
        </is>
      </c>
      <c r="D4" s="58" t="inlineStr">
        <is>
          <t>—</t>
        </is>
      </c>
      <c r="E4" s="58" t="inlineStr">
        <is>
          <t>—</t>
        </is>
      </c>
      <c r="F4" s="58" t="inlineStr">
        <is>
          <t>—</t>
        </is>
      </c>
      <c r="G4" s="58" t="inlineStr">
        <is>
          <t>—</t>
        </is>
      </c>
    </row>
    <row r="5">
      <c r="A5" s="59" t="inlineStr">
        <is>
          <t>—</t>
        </is>
      </c>
      <c r="B5" s="60" t="inlineStr">
        <is>
          <t>—</t>
        </is>
      </c>
      <c r="C5" s="60" t="inlineStr">
        <is>
          <t>—</t>
        </is>
      </c>
      <c r="D5" s="60" t="inlineStr">
        <is>
          <t>—</t>
        </is>
      </c>
      <c r="E5" s="60" t="inlineStr">
        <is>
          <t>—</t>
        </is>
      </c>
      <c r="F5" s="60" t="inlineStr">
        <is>
          <t>—</t>
        </is>
      </c>
      <c r="G5" s="60" t="inlineStr">
        <is>
          <t>—</t>
        </is>
      </c>
    </row>
    <row r="6">
      <c r="A6" s="57" t="inlineStr">
        <is>
          <t>—</t>
        </is>
      </c>
      <c r="B6" s="58" t="inlineStr">
        <is>
          <t>—</t>
        </is>
      </c>
      <c r="C6" s="58" t="inlineStr">
        <is>
          <t>—</t>
        </is>
      </c>
      <c r="D6" s="58" t="inlineStr">
        <is>
          <t>—</t>
        </is>
      </c>
      <c r="E6" s="58" t="inlineStr">
        <is>
          <t>—</t>
        </is>
      </c>
      <c r="F6" s="58" t="inlineStr">
        <is>
          <t>—</t>
        </is>
      </c>
      <c r="G6" s="58" t="inlineStr">
        <is>
          <t>—</t>
        </is>
      </c>
    </row>
    <row r="7">
      <c r="A7" s="59" t="inlineStr">
        <is>
          <t>—</t>
        </is>
      </c>
      <c r="B7" s="60" t="inlineStr">
        <is>
          <t>—</t>
        </is>
      </c>
      <c r="C7" s="60" t="inlineStr">
        <is>
          <t>—</t>
        </is>
      </c>
      <c r="D7" s="60" t="inlineStr">
        <is>
          <t>—</t>
        </is>
      </c>
      <c r="E7" s="60" t="inlineStr">
        <is>
          <t>—</t>
        </is>
      </c>
      <c r="F7" s="60" t="inlineStr">
        <is>
          <t>—</t>
        </is>
      </c>
      <c r="G7" s="60" t="inlineStr">
        <is>
          <t>—</t>
        </is>
      </c>
    </row>
    <row r="9"/>
    <row r="10" ht="18" customHeight="1">
      <c r="A10" s="56" t="inlineStr">
        <is>
          <t>VAR &amp; CVAR IN EUR (BASED ON AUM)</t>
        </is>
      </c>
    </row>
    <row r="11" ht="30" customHeight="1">
      <c r="A11" s="55" t="inlineStr">
        <is>
          <t>Portfolio</t>
        </is>
      </c>
      <c r="B11" s="55" t="inlineStr">
        <is>
          <t>Confidence</t>
        </is>
      </c>
      <c r="C11" s="55" t="inlineStr">
        <is>
          <t>Param VaR (EUR)</t>
        </is>
      </c>
      <c r="D11" s="55" t="inlineStr">
        <is>
          <t>Param CVaR (EUR)</t>
        </is>
      </c>
      <c r="E11" s="55" t="inlineStr">
        <is>
          <t>Hist VaR (EUR)</t>
        </is>
      </c>
      <c r="F11" s="55" t="inlineStr">
        <is>
          <t>MC VaR (EUR)</t>
        </is>
      </c>
      <c r="G11" s="55" t="inlineStr"/>
    </row>
    <row r="12">
      <c r="A12" s="57" t="inlineStr">
        <is>
          <t>—</t>
        </is>
      </c>
      <c r="B12" s="58" t="inlineStr">
        <is>
          <t>—</t>
        </is>
      </c>
      <c r="C12" s="58" t="inlineStr">
        <is>
          <t>—</t>
        </is>
      </c>
      <c r="D12" s="58" t="inlineStr">
        <is>
          <t>—</t>
        </is>
      </c>
      <c r="E12" s="58" t="inlineStr">
        <is>
          <t>—</t>
        </is>
      </c>
      <c r="F12" s="58" t="inlineStr">
        <is>
          <t>—</t>
        </is>
      </c>
      <c r="G12" s="58" t="inlineStr">
        <is>
          <t>—</t>
        </is>
      </c>
    </row>
    <row r="13">
      <c r="A13" s="59" t="inlineStr">
        <is>
          <t>—</t>
        </is>
      </c>
      <c r="B13" s="60" t="inlineStr">
        <is>
          <t>—</t>
        </is>
      </c>
      <c r="C13" s="60" t="inlineStr">
        <is>
          <t>—</t>
        </is>
      </c>
      <c r="D13" s="60" t="inlineStr">
        <is>
          <t>—</t>
        </is>
      </c>
      <c r="E13" s="60" t="inlineStr">
        <is>
          <t>—</t>
        </is>
      </c>
      <c r="F13" s="60" t="inlineStr">
        <is>
          <t>—</t>
        </is>
      </c>
      <c r="G13" s="60" t="inlineStr">
        <is>
          <t>—</t>
        </is>
      </c>
    </row>
    <row r="14">
      <c r="A14" s="57" t="inlineStr">
        <is>
          <t>—</t>
        </is>
      </c>
      <c r="B14" s="58" t="inlineStr">
        <is>
          <t>—</t>
        </is>
      </c>
      <c r="C14" s="58" t="inlineStr">
        <is>
          <t>—</t>
        </is>
      </c>
      <c r="D14" s="58" t="inlineStr">
        <is>
          <t>—</t>
        </is>
      </c>
      <c r="E14" s="58" t="inlineStr">
        <is>
          <t>—</t>
        </is>
      </c>
      <c r="F14" s="58" t="inlineStr">
        <is>
          <t>—</t>
        </is>
      </c>
      <c r="G14" s="58" t="inlineStr">
        <is>
          <t>—</t>
        </is>
      </c>
    </row>
    <row r="15">
      <c r="A15" s="59" t="inlineStr">
        <is>
          <t>—</t>
        </is>
      </c>
      <c r="B15" s="60" t="inlineStr">
        <is>
          <t>—</t>
        </is>
      </c>
      <c r="C15" s="60" t="inlineStr">
        <is>
          <t>—</t>
        </is>
      </c>
      <c r="D15" s="60" t="inlineStr">
        <is>
          <t>—</t>
        </is>
      </c>
      <c r="E15" s="60" t="inlineStr">
        <is>
          <t>—</t>
        </is>
      </c>
      <c r="F15" s="60" t="inlineStr">
        <is>
          <t>—</t>
        </is>
      </c>
      <c r="G15" s="60" t="inlineStr">
        <is>
          <t>—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</cols>
  <sheetData>
    <row r="1" ht="28" customHeight="1">
      <c r="A1" s="54" t="inlineStr">
        <is>
          <t>EM FIXED INCOME — KEY-RATE DURATION</t>
        </is>
      </c>
    </row>
    <row r="2" ht="18" customHeight="1">
      <c r="A2" s="56" t="inlineStr">
        <is>
          <t>KEY-RATE DURATION BY COUNTRY (yrs)</t>
        </is>
      </c>
    </row>
    <row r="3" ht="30" customHeight="1">
      <c r="A3" s="55" t="inlineStr">
        <is>
          <t>Country</t>
        </is>
      </c>
      <c r="B3" s="55" t="inlineStr">
        <is>
          <t>MD (par bond, yrs)</t>
        </is>
      </c>
      <c r="C3" s="55" t="inlineStr">
        <is>
          <t>KRD — EM HC Sustainable</t>
        </is>
      </c>
      <c r="D3" s="55" t="inlineStr">
        <is>
          <t>KRD — EM LC Sustainable</t>
        </is>
      </c>
    </row>
    <row r="4">
      <c r="A4" s="57" t="inlineStr">
        <is>
          <t>—</t>
        </is>
      </c>
      <c r="B4" s="58" t="inlineStr">
        <is>
          <t>—</t>
        </is>
      </c>
      <c r="C4" s="58" t="inlineStr">
        <is>
          <t>—</t>
        </is>
      </c>
      <c r="D4" s="58" t="inlineStr">
        <is>
          <t>—</t>
        </is>
      </c>
    </row>
    <row r="5">
      <c r="A5" s="59" t="inlineStr">
        <is>
          <t>—</t>
        </is>
      </c>
      <c r="B5" s="60" t="inlineStr">
        <is>
          <t>—</t>
        </is>
      </c>
      <c r="C5" s="60" t="inlineStr">
        <is>
          <t>—</t>
        </is>
      </c>
      <c r="D5" s="60" t="inlineStr">
        <is>
          <t>—</t>
        </is>
      </c>
    </row>
    <row r="6">
      <c r="A6" s="57" t="inlineStr">
        <is>
          <t>—</t>
        </is>
      </c>
      <c r="B6" s="58" t="inlineStr">
        <is>
          <t>—</t>
        </is>
      </c>
      <c r="C6" s="58" t="inlineStr">
        <is>
          <t>—</t>
        </is>
      </c>
      <c r="D6" s="58" t="inlineStr">
        <is>
          <t>—</t>
        </is>
      </c>
    </row>
    <row r="7">
      <c r="A7" s="59" t="inlineStr">
        <is>
          <t>—</t>
        </is>
      </c>
      <c r="B7" s="60" t="inlineStr">
        <is>
          <t>—</t>
        </is>
      </c>
      <c r="C7" s="60" t="inlineStr">
        <is>
          <t>—</t>
        </is>
      </c>
      <c r="D7" s="60" t="inlineStr">
        <is>
          <t>—</t>
        </is>
      </c>
    </row>
    <row r="8">
      <c r="A8" s="57" t="inlineStr">
        <is>
          <t>—</t>
        </is>
      </c>
      <c r="B8" s="58" t="inlineStr">
        <is>
          <t>—</t>
        </is>
      </c>
      <c r="C8" s="58" t="inlineStr">
        <is>
          <t>—</t>
        </is>
      </c>
      <c r="D8" s="58" t="inlineStr">
        <is>
          <t>—</t>
        </is>
      </c>
    </row>
    <row r="9">
      <c r="A9" s="59" t="inlineStr">
        <is>
          <t>—</t>
        </is>
      </c>
      <c r="B9" s="60" t="inlineStr">
        <is>
          <t>—</t>
        </is>
      </c>
      <c r="C9" s="60" t="inlineStr">
        <is>
          <t>—</t>
        </is>
      </c>
      <c r="D9" s="60" t="inlineStr">
        <is>
          <t>—</t>
        </is>
      </c>
    </row>
    <row r="10">
      <c r="A10" s="57" t="inlineStr">
        <is>
          <t>—</t>
        </is>
      </c>
      <c r="B10" s="58" t="inlineStr">
        <is>
          <t>—</t>
        </is>
      </c>
      <c r="C10" s="58" t="inlineStr">
        <is>
          <t>—</t>
        </is>
      </c>
      <c r="D10" s="58" t="inlineStr">
        <is>
          <t>—</t>
        </is>
      </c>
    </row>
    <row r="12"/>
    <row r="13" ht="18" customHeight="1">
      <c r="A13" s="56" t="inlineStr">
        <is>
          <t>LATEST BENCHMARK YIELD SNAPSHOT (%)</t>
        </is>
      </c>
    </row>
    <row r="14" ht="30" customHeight="1">
      <c r="A14" s="55" t="inlineStr">
        <is>
          <t>Country</t>
        </is>
      </c>
      <c r="B14" s="55" t="inlineStr">
        <is>
          <t>Latest Yield (%)</t>
        </is>
      </c>
      <c r="C14" s="55" t="inlineStr">
        <is>
          <t>As of</t>
        </is>
      </c>
      <c r="D14" s="55" t="inlineStr"/>
    </row>
    <row r="15">
      <c r="A15" s="59" t="inlineStr">
        <is>
          <t>—</t>
        </is>
      </c>
      <c r="B15" s="60" t="inlineStr">
        <is>
          <t>—</t>
        </is>
      </c>
      <c r="C15" s="60" t="inlineStr">
        <is>
          <t>—</t>
        </is>
      </c>
      <c r="D15" s="60" t="inlineStr">
        <is>
          <t>—</t>
        </is>
      </c>
    </row>
    <row r="16">
      <c r="A16" s="57" t="inlineStr">
        <is>
          <t>—</t>
        </is>
      </c>
      <c r="B16" s="58" t="inlineStr">
        <is>
          <t>—</t>
        </is>
      </c>
      <c r="C16" s="58" t="inlineStr">
        <is>
          <t>—</t>
        </is>
      </c>
      <c r="D16" s="58" t="inlineStr">
        <is>
          <t>—</t>
        </is>
      </c>
    </row>
    <row r="17">
      <c r="A17" s="59" t="inlineStr">
        <is>
          <t>—</t>
        </is>
      </c>
      <c r="B17" s="60" t="inlineStr">
        <is>
          <t>—</t>
        </is>
      </c>
      <c r="C17" s="60" t="inlineStr">
        <is>
          <t>—</t>
        </is>
      </c>
      <c r="D17" s="60" t="inlineStr">
        <is>
          <t>—</t>
        </is>
      </c>
    </row>
    <row r="18">
      <c r="A18" s="57" t="inlineStr">
        <is>
          <t>—</t>
        </is>
      </c>
      <c r="B18" s="58" t="inlineStr">
        <is>
          <t>—</t>
        </is>
      </c>
      <c r="C18" s="58" t="inlineStr">
        <is>
          <t>—</t>
        </is>
      </c>
      <c r="D18" s="58" t="inlineStr">
        <is>
          <t>—</t>
        </is>
      </c>
    </row>
    <row r="19">
      <c r="A19" s="59" t="inlineStr">
        <is>
          <t>—</t>
        </is>
      </c>
      <c r="B19" s="60" t="inlineStr">
        <is>
          <t>—</t>
        </is>
      </c>
      <c r="C19" s="60" t="inlineStr">
        <is>
          <t>—</t>
        </is>
      </c>
      <c r="D19" s="60" t="inlineStr">
        <is>
          <t>—</t>
        </is>
      </c>
    </row>
    <row r="20">
      <c r="A20" s="57" t="inlineStr">
        <is>
          <t>—</t>
        </is>
      </c>
      <c r="B20" s="58" t="inlineStr">
        <is>
          <t>—</t>
        </is>
      </c>
      <c r="C20" s="58" t="inlineStr">
        <is>
          <t>—</t>
        </is>
      </c>
      <c r="D20" s="58" t="inlineStr">
        <is>
          <t>—</t>
        </is>
      </c>
    </row>
    <row r="21">
      <c r="A21" s="59" t="inlineStr">
        <is>
          <t>—</t>
        </is>
      </c>
      <c r="B21" s="60" t="inlineStr">
        <is>
          <t>—</t>
        </is>
      </c>
      <c r="C21" s="60" t="inlineStr">
        <is>
          <t>—</t>
        </is>
      </c>
      <c r="D21" s="60" t="inlineStr">
        <is>
          <t>—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Henry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2026-05-24T19:55:12Z</dcterms:modified>
  <cp:lastModifiedBy>HENRY Nicolas</cp:lastModifiedBy>
</cp:coreProperties>
</file>